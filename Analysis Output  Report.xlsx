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5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6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pplications\HIAS Refugee Kenya\Analysis\"/>
    </mc:Choice>
  </mc:AlternateContent>
  <bookViews>
    <workbookView xWindow="0" yWindow="0" windowWidth="20490" windowHeight="7770" tabRatio="710" firstSheet="8" activeTab="12"/>
  </bookViews>
  <sheets>
    <sheet name="Section 1.a" sheetId="1" r:id="rId1"/>
    <sheet name="Section 1.b" sheetId="2" r:id="rId2"/>
    <sheet name="Section 2 by gender" sheetId="3" r:id="rId3"/>
    <sheet name="Section 2 by Location" sheetId="12" r:id="rId4"/>
    <sheet name="Section 3 by gender" sheetId="5" r:id="rId5"/>
    <sheet name="Section 3 by location" sheetId="13" r:id="rId6"/>
    <sheet name="Section 4 by gender" sheetId="7" r:id="rId7"/>
    <sheet name="Section 4 y location" sheetId="14" r:id="rId8"/>
    <sheet name="SECTION 5a by gender" sheetId="9" r:id="rId9"/>
    <sheet name="Section 5a by Location" sheetId="15" r:id="rId10"/>
    <sheet name="SECTION 5b by gender" sheetId="10" r:id="rId11"/>
    <sheet name="Section 5b by Location" sheetId="16" r:id="rId12"/>
    <sheet name="Challenges" sheetId="11" r:id="rId13"/>
    <sheet name="Sheet2" sheetId="8" state="hidden" r:id="rId14"/>
    <sheet name="Sheet1" sheetId="6" state="hidden" r:id="rId15"/>
    <sheet name="Sheet4" sheetId="4" state="hidden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6" l="1"/>
  <c r="J13" i="16"/>
  <c r="J12" i="16"/>
  <c r="J11" i="16"/>
  <c r="J10" i="16"/>
  <c r="J9" i="16"/>
  <c r="J26" i="16"/>
  <c r="J25" i="16"/>
  <c r="J24" i="16"/>
  <c r="J23" i="16"/>
  <c r="J22" i="16"/>
  <c r="J21" i="16"/>
  <c r="J38" i="16" l="1"/>
  <c r="J37" i="16"/>
  <c r="J36" i="16"/>
  <c r="J35" i="16"/>
  <c r="J34" i="16"/>
  <c r="J33" i="16"/>
  <c r="J50" i="16"/>
  <c r="J49" i="16"/>
  <c r="J48" i="16"/>
  <c r="J47" i="16"/>
  <c r="J46" i="16"/>
  <c r="J45" i="16"/>
  <c r="J62" i="16"/>
  <c r="J61" i="16"/>
  <c r="J60" i="16"/>
  <c r="J59" i="16"/>
  <c r="J58" i="16"/>
  <c r="J57" i="16"/>
  <c r="J74" i="16"/>
  <c r="J73" i="16"/>
  <c r="J72" i="16"/>
  <c r="J71" i="16"/>
  <c r="J70" i="16"/>
  <c r="J69" i="16"/>
  <c r="J86" i="16"/>
  <c r="J85" i="16"/>
  <c r="J84" i="16"/>
  <c r="J83" i="16"/>
  <c r="J82" i="16"/>
  <c r="J81" i="16"/>
  <c r="J98" i="16"/>
  <c r="J97" i="16"/>
  <c r="J96" i="16"/>
  <c r="J95" i="16"/>
  <c r="J94" i="16"/>
  <c r="J93" i="16"/>
  <c r="J110" i="16"/>
  <c r="J109" i="16"/>
  <c r="J108" i="16"/>
  <c r="J107" i="16"/>
  <c r="J106" i="16"/>
  <c r="J105" i="16"/>
  <c r="K106" i="15"/>
  <c r="K111" i="15"/>
  <c r="K110" i="15"/>
  <c r="K109" i="15"/>
  <c r="K108" i="15"/>
  <c r="K107" i="15"/>
  <c r="K99" i="15"/>
  <c r="K98" i="15"/>
  <c r="K97" i="15"/>
  <c r="K96" i="15"/>
  <c r="K95" i="15"/>
  <c r="K88" i="15"/>
  <c r="K87" i="15"/>
  <c r="K86" i="15"/>
  <c r="K85" i="15"/>
  <c r="K84" i="15"/>
  <c r="K77" i="15"/>
  <c r="K76" i="15"/>
  <c r="K75" i="15"/>
  <c r="K74" i="15"/>
  <c r="K73" i="15"/>
  <c r="K66" i="15"/>
  <c r="K65" i="15"/>
  <c r="K64" i="15"/>
  <c r="K63" i="15"/>
  <c r="K62" i="15"/>
  <c r="K55" i="15"/>
  <c r="K54" i="15"/>
  <c r="K53" i="15"/>
  <c r="K52" i="15"/>
  <c r="K51" i="15"/>
  <c r="K44" i="15"/>
  <c r="K43" i="15"/>
  <c r="K42" i="15"/>
  <c r="K41" i="15"/>
  <c r="K40" i="15"/>
  <c r="K33" i="15"/>
  <c r="K32" i="15"/>
  <c r="K31" i="15"/>
  <c r="K30" i="15"/>
  <c r="K29" i="15"/>
  <c r="K22" i="15"/>
  <c r="K21" i="15"/>
  <c r="K20" i="15"/>
  <c r="K19" i="15"/>
  <c r="K18" i="15"/>
  <c r="K11" i="15"/>
  <c r="K10" i="15"/>
  <c r="K9" i="15"/>
  <c r="K8" i="15"/>
  <c r="K7" i="15"/>
  <c r="G112" i="15"/>
  <c r="H112" i="15"/>
  <c r="I112" i="15"/>
  <c r="F112" i="15"/>
  <c r="G89" i="15"/>
  <c r="H89" i="15"/>
  <c r="I89" i="15"/>
  <c r="F89" i="15"/>
  <c r="G100" i="15"/>
  <c r="H100" i="15"/>
  <c r="I100" i="15"/>
  <c r="F100" i="15"/>
  <c r="G78" i="15"/>
  <c r="H78" i="15"/>
  <c r="I78" i="15"/>
  <c r="F78" i="15"/>
  <c r="G67" i="15"/>
  <c r="H67" i="15"/>
  <c r="I67" i="15"/>
  <c r="F67" i="15"/>
  <c r="G56" i="15"/>
  <c r="H56" i="15"/>
  <c r="I56" i="15"/>
  <c r="F56" i="15"/>
  <c r="G45" i="15"/>
  <c r="H45" i="15"/>
  <c r="I45" i="15"/>
  <c r="F45" i="15"/>
  <c r="G34" i="15"/>
  <c r="H34" i="15"/>
  <c r="I34" i="15"/>
  <c r="F34" i="15"/>
  <c r="G23" i="15"/>
  <c r="H23" i="15"/>
  <c r="I23" i="15"/>
  <c r="F23" i="15"/>
  <c r="G12" i="15"/>
  <c r="H12" i="15"/>
  <c r="I12" i="15"/>
  <c r="F12" i="15"/>
  <c r="I111" i="16"/>
  <c r="H111" i="16"/>
  <c r="G111" i="16"/>
  <c r="F111" i="16"/>
  <c r="E111" i="16"/>
  <c r="I99" i="16"/>
  <c r="H99" i="16"/>
  <c r="G99" i="16"/>
  <c r="F99" i="16"/>
  <c r="E99" i="16"/>
  <c r="I87" i="16"/>
  <c r="H87" i="16"/>
  <c r="G87" i="16"/>
  <c r="F87" i="16"/>
  <c r="E87" i="16"/>
  <c r="I75" i="16"/>
  <c r="H75" i="16"/>
  <c r="G75" i="16"/>
  <c r="F75" i="16"/>
  <c r="E75" i="16"/>
  <c r="I63" i="16"/>
  <c r="H63" i="16"/>
  <c r="G63" i="16"/>
  <c r="F63" i="16"/>
  <c r="E63" i="16"/>
  <c r="I51" i="16"/>
  <c r="H51" i="16"/>
  <c r="G51" i="16"/>
  <c r="F51" i="16"/>
  <c r="E51" i="16"/>
  <c r="I39" i="16"/>
  <c r="H39" i="16"/>
  <c r="G39" i="16"/>
  <c r="F39" i="16"/>
  <c r="E39" i="16"/>
  <c r="I27" i="16"/>
  <c r="H27" i="16"/>
  <c r="G27" i="16"/>
  <c r="F27" i="16"/>
  <c r="E27" i="16"/>
  <c r="G15" i="16"/>
  <c r="H15" i="16"/>
  <c r="I15" i="16"/>
  <c r="F15" i="16"/>
  <c r="E15" i="16"/>
  <c r="J112" i="15"/>
  <c r="J100" i="15"/>
  <c r="J89" i="15"/>
  <c r="J78" i="15"/>
  <c r="J67" i="15"/>
  <c r="J56" i="15"/>
  <c r="J45" i="15"/>
  <c r="J34" i="15"/>
  <c r="J23" i="15"/>
  <c r="J12" i="15"/>
  <c r="J8" i="14" l="1"/>
  <c r="J9" i="14"/>
  <c r="J10" i="14"/>
  <c r="J11" i="14"/>
  <c r="J12" i="14"/>
  <c r="J13" i="14"/>
  <c r="E14" i="14"/>
  <c r="F14" i="14"/>
  <c r="G14" i="14"/>
  <c r="H14" i="14"/>
  <c r="I14" i="14"/>
  <c r="J20" i="14"/>
  <c r="J21" i="14"/>
  <c r="J22" i="14"/>
  <c r="J23" i="14"/>
  <c r="J24" i="14"/>
  <c r="J25" i="14"/>
  <c r="E26" i="14"/>
  <c r="F26" i="14"/>
  <c r="G26" i="14"/>
  <c r="H26" i="14"/>
  <c r="I26" i="14"/>
  <c r="J32" i="14"/>
  <c r="J33" i="14"/>
  <c r="J34" i="14"/>
  <c r="J35" i="14"/>
  <c r="J36" i="14"/>
  <c r="J37" i="14"/>
  <c r="E38" i="14"/>
  <c r="F38" i="14"/>
  <c r="G38" i="14"/>
  <c r="H38" i="14"/>
  <c r="I38" i="14"/>
  <c r="J44" i="14"/>
  <c r="J45" i="14"/>
  <c r="J46" i="14"/>
  <c r="J47" i="14"/>
  <c r="J48" i="14"/>
  <c r="J49" i="14"/>
  <c r="E50" i="14"/>
  <c r="F50" i="14"/>
  <c r="G50" i="14"/>
  <c r="H50" i="14"/>
  <c r="I50" i="14"/>
  <c r="J56" i="14"/>
  <c r="J57" i="14"/>
  <c r="J58" i="14"/>
  <c r="J59" i="14"/>
  <c r="J60" i="14"/>
  <c r="J61" i="14"/>
  <c r="E62" i="14"/>
  <c r="F62" i="14"/>
  <c r="G62" i="14"/>
  <c r="H62" i="14"/>
  <c r="I62" i="14"/>
  <c r="J68" i="14"/>
  <c r="J69" i="14"/>
  <c r="J70" i="14"/>
  <c r="J71" i="14"/>
  <c r="J72" i="14"/>
  <c r="J73" i="14"/>
  <c r="E74" i="14"/>
  <c r="F74" i="14"/>
  <c r="G74" i="14"/>
  <c r="H74" i="14"/>
  <c r="I74" i="14"/>
  <c r="J80" i="14"/>
  <c r="J81" i="14"/>
  <c r="J82" i="14"/>
  <c r="J83" i="14"/>
  <c r="J84" i="14"/>
  <c r="J85" i="14"/>
  <c r="E86" i="14"/>
  <c r="F86" i="14"/>
  <c r="G86" i="14"/>
  <c r="H86" i="14"/>
  <c r="I86" i="14"/>
  <c r="J92" i="14"/>
  <c r="J93" i="14"/>
  <c r="J94" i="14"/>
  <c r="J95" i="14"/>
  <c r="J96" i="14"/>
  <c r="J97" i="14"/>
  <c r="E98" i="14"/>
  <c r="F98" i="14"/>
  <c r="G98" i="14"/>
  <c r="H98" i="14"/>
  <c r="I98" i="14"/>
  <c r="K121" i="13"/>
  <c r="K120" i="13"/>
  <c r="K119" i="13"/>
  <c r="K118" i="13"/>
  <c r="K122" i="13" s="1"/>
  <c r="K117" i="13"/>
  <c r="K116" i="13"/>
  <c r="K109" i="13"/>
  <c r="K108" i="13"/>
  <c r="K107" i="13"/>
  <c r="K106" i="13"/>
  <c r="K105" i="13"/>
  <c r="K104" i="13"/>
  <c r="K97" i="13"/>
  <c r="K96" i="13"/>
  <c r="K95" i="13"/>
  <c r="K94" i="13"/>
  <c r="K93" i="13"/>
  <c r="K92" i="13"/>
  <c r="K85" i="13"/>
  <c r="K84" i="13"/>
  <c r="K83" i="13"/>
  <c r="K82" i="13"/>
  <c r="K81" i="13"/>
  <c r="K80" i="13"/>
  <c r="K73" i="13"/>
  <c r="K72" i="13"/>
  <c r="K71" i="13"/>
  <c r="K70" i="13"/>
  <c r="K69" i="13"/>
  <c r="K68" i="13"/>
  <c r="K61" i="13"/>
  <c r="K60" i="13"/>
  <c r="K59" i="13"/>
  <c r="K58" i="13"/>
  <c r="K57" i="13"/>
  <c r="K56" i="13"/>
  <c r="K49" i="13"/>
  <c r="K48" i="13"/>
  <c r="K47" i="13"/>
  <c r="K46" i="13"/>
  <c r="K45" i="13"/>
  <c r="K44" i="13"/>
  <c r="K37" i="13"/>
  <c r="K36" i="13"/>
  <c r="K35" i="13"/>
  <c r="K34" i="13"/>
  <c r="K33" i="13"/>
  <c r="K32" i="13"/>
  <c r="K25" i="13"/>
  <c r="K24" i="13"/>
  <c r="K23" i="13"/>
  <c r="K22" i="13"/>
  <c r="K21" i="13"/>
  <c r="K20" i="13"/>
  <c r="K13" i="13"/>
  <c r="K12" i="13"/>
  <c r="K11" i="13"/>
  <c r="K10" i="13"/>
  <c r="K9" i="13"/>
  <c r="K8" i="13"/>
  <c r="G122" i="13"/>
  <c r="H122" i="13"/>
  <c r="I122" i="13"/>
  <c r="J122" i="13"/>
  <c r="F122" i="13"/>
  <c r="G110" i="13"/>
  <c r="H110" i="13"/>
  <c r="I110" i="13"/>
  <c r="J110" i="13"/>
  <c r="F110" i="13"/>
  <c r="G98" i="13"/>
  <c r="H98" i="13"/>
  <c r="I98" i="13"/>
  <c r="J98" i="13"/>
  <c r="F98" i="13"/>
  <c r="G86" i="13"/>
  <c r="H86" i="13"/>
  <c r="I86" i="13"/>
  <c r="J86" i="13"/>
  <c r="F86" i="13"/>
  <c r="G74" i="13"/>
  <c r="H74" i="13"/>
  <c r="I74" i="13"/>
  <c r="J74" i="13"/>
  <c r="F74" i="13"/>
  <c r="G62" i="13"/>
  <c r="H62" i="13"/>
  <c r="I62" i="13"/>
  <c r="J62" i="13"/>
  <c r="F62" i="13"/>
  <c r="G50" i="13"/>
  <c r="H50" i="13"/>
  <c r="I50" i="13"/>
  <c r="J50" i="13"/>
  <c r="F50" i="13"/>
  <c r="G38" i="13"/>
  <c r="H38" i="13"/>
  <c r="I38" i="13"/>
  <c r="J38" i="13"/>
  <c r="F38" i="13"/>
  <c r="G26" i="13"/>
  <c r="H26" i="13"/>
  <c r="I26" i="13"/>
  <c r="J26" i="13"/>
  <c r="F26" i="13"/>
  <c r="G14" i="13"/>
  <c r="H14" i="13"/>
  <c r="I14" i="13"/>
  <c r="J14" i="13"/>
  <c r="F14" i="13"/>
  <c r="J133" i="12"/>
  <c r="J132" i="12"/>
  <c r="J131" i="12"/>
  <c r="J130" i="12"/>
  <c r="J129" i="12"/>
  <c r="J128" i="12"/>
  <c r="J121" i="12"/>
  <c r="J120" i="12"/>
  <c r="J119" i="12"/>
  <c r="J118" i="12"/>
  <c r="J117" i="12"/>
  <c r="J116" i="12"/>
  <c r="J109" i="12"/>
  <c r="J108" i="12"/>
  <c r="J107" i="12"/>
  <c r="J106" i="12"/>
  <c r="J105" i="12"/>
  <c r="J104" i="12"/>
  <c r="J97" i="12"/>
  <c r="J96" i="12"/>
  <c r="J95" i="12"/>
  <c r="J94" i="12"/>
  <c r="J93" i="12"/>
  <c r="J92" i="12"/>
  <c r="J85" i="12"/>
  <c r="J84" i="12"/>
  <c r="J83" i="12"/>
  <c r="J82" i="12"/>
  <c r="J81" i="12"/>
  <c r="J80" i="12"/>
  <c r="J73" i="12"/>
  <c r="J72" i="12"/>
  <c r="J71" i="12"/>
  <c r="J70" i="12"/>
  <c r="J69" i="12"/>
  <c r="J68" i="12"/>
  <c r="J61" i="12"/>
  <c r="J60" i="12"/>
  <c r="J59" i="12"/>
  <c r="J58" i="12"/>
  <c r="J57" i="12"/>
  <c r="J56" i="12"/>
  <c r="J49" i="12"/>
  <c r="J48" i="12"/>
  <c r="J47" i="12"/>
  <c r="J46" i="12"/>
  <c r="J45" i="12"/>
  <c r="J44" i="12"/>
  <c r="J37" i="12"/>
  <c r="J36" i="12"/>
  <c r="J35" i="12"/>
  <c r="J34" i="12"/>
  <c r="J33" i="12"/>
  <c r="J32" i="12"/>
  <c r="J25" i="12"/>
  <c r="J24" i="12"/>
  <c r="J23" i="12"/>
  <c r="J22" i="12"/>
  <c r="J21" i="12"/>
  <c r="J20" i="12"/>
  <c r="J13" i="12"/>
  <c r="J12" i="12"/>
  <c r="J11" i="12"/>
  <c r="J10" i="12"/>
  <c r="J9" i="12"/>
  <c r="J8" i="12"/>
  <c r="K110" i="13" l="1"/>
  <c r="K98" i="13"/>
  <c r="K86" i="13"/>
  <c r="K74" i="13"/>
  <c r="K62" i="13"/>
  <c r="F134" i="12"/>
  <c r="G134" i="12"/>
  <c r="H134" i="12"/>
  <c r="I134" i="12"/>
  <c r="E134" i="12"/>
  <c r="F122" i="12"/>
  <c r="G122" i="12"/>
  <c r="H122" i="12"/>
  <c r="I122" i="12"/>
  <c r="E122" i="12"/>
  <c r="F110" i="12"/>
  <c r="G110" i="12"/>
  <c r="H110" i="12"/>
  <c r="I110" i="12"/>
  <c r="E110" i="12"/>
  <c r="F98" i="12"/>
  <c r="G98" i="12"/>
  <c r="H98" i="12"/>
  <c r="I98" i="12"/>
  <c r="E98" i="12"/>
  <c r="F86" i="12"/>
  <c r="G86" i="12"/>
  <c r="H86" i="12"/>
  <c r="I86" i="12"/>
  <c r="E86" i="12"/>
  <c r="F74" i="12"/>
  <c r="G74" i="12"/>
  <c r="H74" i="12"/>
  <c r="I74" i="12"/>
  <c r="E74" i="12"/>
  <c r="F62" i="12"/>
  <c r="G62" i="12"/>
  <c r="H62" i="12"/>
  <c r="I62" i="12"/>
  <c r="E62" i="12"/>
  <c r="F50" i="12"/>
  <c r="G50" i="12"/>
  <c r="H50" i="12"/>
  <c r="I50" i="12"/>
  <c r="E50" i="12"/>
  <c r="F38" i="12"/>
  <c r="G38" i="12"/>
  <c r="H38" i="12"/>
  <c r="I38" i="12"/>
  <c r="E38" i="12"/>
  <c r="F26" i="12"/>
  <c r="G26" i="12"/>
  <c r="H26" i="12"/>
  <c r="I26" i="12"/>
  <c r="E26" i="12"/>
  <c r="G14" i="12"/>
  <c r="H14" i="12"/>
  <c r="I14" i="12"/>
  <c r="F14" i="12"/>
  <c r="J50" i="12" l="1"/>
  <c r="Q20" i="2"/>
  <c r="Q19" i="2"/>
  <c r="Q11" i="2"/>
  <c r="Q12" i="2"/>
  <c r="Q10" i="2"/>
  <c r="Q13" i="2" s="1"/>
  <c r="N22" i="2"/>
  <c r="O22" i="2"/>
  <c r="P22" i="2"/>
  <c r="Q22" i="2"/>
  <c r="M22" i="2"/>
  <c r="N13" i="2"/>
  <c r="O13" i="2"/>
  <c r="P13" i="2"/>
  <c r="M13" i="2"/>
  <c r="G79" i="10" l="1"/>
  <c r="G112" i="10"/>
  <c r="G101" i="10"/>
  <c r="G90" i="10"/>
  <c r="G68" i="10"/>
  <c r="G57" i="10"/>
  <c r="G46" i="10"/>
  <c r="G35" i="10"/>
  <c r="G24" i="10"/>
  <c r="G13" i="10"/>
  <c r="J106" i="9"/>
  <c r="K106" i="9"/>
  <c r="J93" i="9"/>
  <c r="J83" i="9"/>
  <c r="J73" i="9"/>
  <c r="J63" i="9"/>
  <c r="J53" i="9"/>
  <c r="J43" i="9"/>
  <c r="J33" i="9"/>
  <c r="J23" i="9"/>
  <c r="J13" i="9"/>
  <c r="G24" i="7"/>
  <c r="G90" i="7"/>
  <c r="G79" i="7"/>
  <c r="G68" i="7"/>
  <c r="G57" i="7"/>
  <c r="G46" i="7"/>
  <c r="G35" i="7"/>
  <c r="G13" i="7"/>
  <c r="F115" i="5" l="1"/>
  <c r="F104" i="5"/>
  <c r="F93" i="5"/>
  <c r="F82" i="5"/>
  <c r="F70" i="5"/>
  <c r="F59" i="5"/>
  <c r="F48" i="5"/>
  <c r="F37" i="5"/>
  <c r="F26" i="5"/>
  <c r="F15" i="5"/>
  <c r="F125" i="3" l="1"/>
  <c r="F114" i="3"/>
  <c r="F103" i="3"/>
  <c r="F92" i="3"/>
  <c r="F81" i="3"/>
  <c r="F70" i="3"/>
  <c r="F59" i="3"/>
  <c r="F48" i="3"/>
  <c r="F37" i="3"/>
  <c r="F26" i="3"/>
  <c r="F15" i="3"/>
  <c r="G21" i="2"/>
  <c r="G13" i="2"/>
</calcChain>
</file>

<file path=xl/sharedStrings.xml><?xml version="1.0" encoding="utf-8"?>
<sst xmlns="http://schemas.openxmlformats.org/spreadsheetml/2006/main" count="1796" uniqueCount="226">
  <si>
    <t/>
  </si>
  <si>
    <t>Frequency</t>
  </si>
  <si>
    <t>Percent</t>
  </si>
  <si>
    <t>Cumulative Percent</t>
  </si>
  <si>
    <t>Eastleigh</t>
  </si>
  <si>
    <t>Kawangware</t>
  </si>
  <si>
    <t>Kayole</t>
  </si>
  <si>
    <t>Total</t>
  </si>
  <si>
    <t>female</t>
  </si>
  <si>
    <t>male</t>
  </si>
  <si>
    <t>college_university</t>
  </si>
  <si>
    <t>not_applicable</t>
  </si>
  <si>
    <t>primary_school</t>
  </si>
  <si>
    <t>secondary_school</t>
  </si>
  <si>
    <t>Place of Residence</t>
  </si>
  <si>
    <t>Not Willing to participate</t>
  </si>
  <si>
    <t>Level of Education</t>
  </si>
  <si>
    <t>Gender of Response</t>
  </si>
  <si>
    <t>never</t>
  </si>
  <si>
    <t>occassionally</t>
  </si>
  <si>
    <t>often</t>
  </si>
  <si>
    <t>no</t>
  </si>
  <si>
    <t>yes</t>
  </si>
  <si>
    <t>How often do you discuss sex-related matters with your parent/guardian?</t>
  </si>
  <si>
    <t>I have been trained on adolescent sexual and reproductive health and rights</t>
  </si>
  <si>
    <t>How do you identify yourself?</t>
  </si>
  <si>
    <t>Training on SRHR disagreggated by Gender</t>
  </si>
  <si>
    <t>Frequency of discussing SRHR, disagreggated by Gender</t>
  </si>
  <si>
    <t>Percentage</t>
  </si>
  <si>
    <t>SECTION 2: ACCESSIBILITY OF SRHR SERVICES FOR YOUTH AND ADOLESCENT REFUGEES</t>
  </si>
  <si>
    <t>Demograpgic Information</t>
  </si>
  <si>
    <t>agree</t>
  </si>
  <si>
    <t>agree_strongly</t>
  </si>
  <si>
    <t>disagree</t>
  </si>
  <si>
    <t>disagree_strongly</t>
  </si>
  <si>
    <t>neutral</t>
  </si>
  <si>
    <t>Have you ever sought SRHR services? Disagreggated by Gender</t>
  </si>
  <si>
    <t>You know places or facilities that provide youth-friendly SRHRH services for youth and adolescent refugees  Disagreggated by Gender</t>
  </si>
  <si>
    <t>You know places or facilities that provide youth-friendly SRHRH services for youth and adolescent refugees</t>
  </si>
  <si>
    <t>Providers at facilities/ organisations providing SRHRH services exhibit are positive attitude and competence to handle youth and adolescent SRH needs  Disagreggated by Gender</t>
  </si>
  <si>
    <t>You have access to counselling services on sexual and reproductive health problems  Disagreggated by Gender</t>
  </si>
  <si>
    <t>Providers at facilities/ organisations providing SRHRH services exhibit are positive attitude and competence to handle youth and adolescent SRH needs</t>
  </si>
  <si>
    <t>You have access to counselling services on sexual and reproductive health problems</t>
  </si>
  <si>
    <t>You have been trained on SRHR Disagreggated by Gender</t>
  </si>
  <si>
    <t>You have are confident to discuss SRH issues (STIs, HIV, condom use, pregnancy) with your parents  Disagreggated by Gender</t>
  </si>
  <si>
    <t>You have are confident to discuss SRH issues (STIs, HIV, condom use, pregnancy) with your parents</t>
  </si>
  <si>
    <t>Have you ever sought SRHR services?</t>
  </si>
  <si>
    <t>Non-Participants</t>
  </si>
  <si>
    <t>You have access to Comprehensive Sexuality Education (CSE) as part of your education * 1.1 How do you identify yourself? Crosstabulation</t>
  </si>
  <si>
    <t>You have been trained on SRHR</t>
  </si>
  <si>
    <t>You have access to hygiene products and services  Disagreggated by Gender</t>
  </si>
  <si>
    <t>You have access to hygiene products and services</t>
  </si>
  <si>
    <t>You have access to Comprehensive Sexuality Education (CSE) as part of your education</t>
  </si>
  <si>
    <t>There is a shortage of SRHR supplies, equipment and commodities in places that provide SRHR services, Disagreggated by Gender</t>
  </si>
  <si>
    <t>There is a shortage of SRHR supplies, equipment and commodities in places that provide SRHR services</t>
  </si>
  <si>
    <t xml:space="preserve"> Referral links between programs and SRHR service delivery points are strong, Disagreggated by Gender</t>
  </si>
  <si>
    <t>Referral links between programs and SRHR service delivery points are strong</t>
  </si>
  <si>
    <t>You have access to radio/ social media broadcast on Adolescent and Youth health issues, Disagreggated by Gender</t>
  </si>
  <si>
    <t>You have access to radio/ social media broadcast on Adolescent and Youth health issues</t>
  </si>
  <si>
    <t>% Frequency</t>
  </si>
  <si>
    <t>Frequency Tables</t>
  </si>
  <si>
    <t>Graphs</t>
  </si>
  <si>
    <t>SECTION 3: CULTURAL ACCEPTABILITY AND APPROPRIATENESS OF SRHR SERVICES FOR YAR</t>
  </si>
  <si>
    <t>It is okay for youth to discuss dating, sex, or sexual relationships with parents and guardians, disagreggated by Gender</t>
  </si>
  <si>
    <t>It is suitable for youths and adolescents  to access education resources (e.g., brochures) about puberty etc. disagreggated by Gender</t>
  </si>
  <si>
    <t>Adolescent girls who get pregnant deserve a second chance *, disagreggated by Gender</t>
  </si>
  <si>
    <t>A woman can suggest using condoms just like a man can *, disagreggated by Gender</t>
  </si>
  <si>
    <t>A woman should accept domestic violence to keep family together * , disagreggated by Gender</t>
  </si>
  <si>
    <t>It is okay for a girl (&amp;lt;18 years) to get married as long as her parents/ guardians accept *, disagreggated by Gender</t>
  </si>
  <si>
    <t>A man should have the final word about the decision on the number of children to have in his family * , disagreggated by Gender</t>
  </si>
  <si>
    <t>Religious leaders should discuss dating, sex, or sexual relationships with youths and adolescents * , disagreggated by Gender</t>
  </si>
  <si>
    <t>Teachers in schools should discuss dating, sex, or sexual relationships with youths and adolescents *, disagreggated by Gender</t>
  </si>
  <si>
    <t>It is okay for youth to discuss dating, sex, or sexual relationships with parents and guardians</t>
  </si>
  <si>
    <t>Non-Participant</t>
  </si>
  <si>
    <t xml:space="preserve"> How do you identify yourself?</t>
  </si>
  <si>
    <t>It is suitable for youths and adolescents  to access education resources (e.g., brochures) about puberty etc.</t>
  </si>
  <si>
    <t>Adolescent girls who get pregnant deserve a second chance</t>
  </si>
  <si>
    <t>Boys should be educated about girl’s health needs related to puberty and adolescence (menstruation, hygiene, etc.) * , disagreggated by Gender</t>
  </si>
  <si>
    <t>Boys should be educated about girl’s health needs related to puberty and adolescence (menstruation, hygiene, etc.)</t>
  </si>
  <si>
    <t>A woman can suggest using condoms just like a man can</t>
  </si>
  <si>
    <t>A woman should accept domestic violence to keep family together</t>
  </si>
  <si>
    <t>It is okay for a girl (&amp;lt;18 years) to get married as long as her parents/ guardians accept</t>
  </si>
  <si>
    <t>A man should have the final word about the decision on the number of children to have in his family</t>
  </si>
  <si>
    <t>Religious leaders should discuss dating, sex, or sexual relationships with youths and adolescents</t>
  </si>
  <si>
    <t>Teachers in schools should discuss dating, sex, or sexual relationships with youths and adolescents</t>
  </si>
  <si>
    <t>SECTION 4: YAR CONFIDENCE AND SELF ESTEEM</t>
  </si>
  <si>
    <t>% Frequecny</t>
  </si>
  <si>
    <t>You are confident to do an HIV Test at a VCT/HTS, disagreggated by gender</t>
  </si>
  <si>
    <t>You are confident to do an HIV Test at a VCT/HTS</t>
  </si>
  <si>
    <t>You are confident to buy condoms in shops and relevant health facilities</t>
  </si>
  <si>
    <t>You are confident to buy condoms in shops and relevant health facilities, disagreggated by gender</t>
  </si>
  <si>
    <t>You intend to abstain from sex until marriage, disagreggated by gender</t>
  </si>
  <si>
    <t>You intend to abstain from sex until marriage</t>
  </si>
  <si>
    <t>You are confident to discuss SRH issues (STIs, HIV, condom use, pregnancy) with your parents, disagreggated by gender</t>
  </si>
  <si>
    <t>You are confident to discuss SRH issues (STIs, HIV, condom use, pregnancy) with your parents</t>
  </si>
  <si>
    <t>You are confident to discuss SRH issues (STIs, HIV, condom use, pregnancy) with your peers, disagreggated by gender</t>
  </si>
  <si>
    <t>You are confident to discuss SRH issues (STIs, HIV, condom use, pregnancy) with your peers</t>
  </si>
  <si>
    <t>You can negotiate condom use, disagreggated by gender</t>
  </si>
  <si>
    <t>You can negotiate condom use</t>
  </si>
  <si>
    <t>You feel confident to resist peer-pressure, disagreggated by gender</t>
  </si>
  <si>
    <t>You feel confident to resist peer-pressure</t>
  </si>
  <si>
    <t>You feel that you are as important as other youths who are not refugees, disagreggated by gender</t>
  </si>
  <si>
    <t>You feel that you are as important as other youths who are not refugees</t>
  </si>
  <si>
    <t>SECTION 5: SRHR SUPPORT BY DUTY BEARERS AND SERVICE PROVIDERS</t>
  </si>
  <si>
    <t>none</t>
  </si>
  <si>
    <t>An older man I grew around with</t>
  </si>
  <si>
    <t>An older Woman will give good advice</t>
  </si>
  <si>
    <t>Husband</t>
  </si>
  <si>
    <t>I can ask a shop keeper at a shop</t>
  </si>
  <si>
    <t>My husband</t>
  </si>
  <si>
    <t>Patner</t>
  </si>
  <si>
    <t>Would like to know more about about family planning and menstrual health</t>
  </si>
  <si>
    <t>Parent or Guardian, disagreggated by gender</t>
  </si>
  <si>
    <t>Parent or Guardian</t>
  </si>
  <si>
    <t>Other family members (sibling, uncle…), disagreggated by gender</t>
  </si>
  <si>
    <t>Neighbor, disagreggated by gender</t>
  </si>
  <si>
    <t>Peer (classmate, friend etc.), disagreggated by gender</t>
  </si>
  <si>
    <t>school official (headteacher, counsellor...), disagreggated by gender</t>
  </si>
  <si>
    <t>County education officer, disagreggated by gender</t>
  </si>
  <si>
    <t>Religious (pastor, priest, sheik, etc.), disagreggated by gender</t>
  </si>
  <si>
    <t>Health care provider (nurse, Dr., etc.), disagreggated by gender</t>
  </si>
  <si>
    <t>NGO officer (community worker, etc.), disagreggated by gender</t>
  </si>
  <si>
    <t>Other specify, disagreggated by gender</t>
  </si>
  <si>
    <t>Other family members (sibling, uncle…)</t>
  </si>
  <si>
    <t>Neighbor</t>
  </si>
  <si>
    <t>Peer (classmate, friend etc.)</t>
  </si>
  <si>
    <t>school official (headteacher, counsellor...)</t>
  </si>
  <si>
    <t>County education officer</t>
  </si>
  <si>
    <t>Religious (pastor, priest, sheik, etc.)</t>
  </si>
  <si>
    <t>Health care provider (nurse, Dr., etc.)</t>
  </si>
  <si>
    <t>NGO officer (community worker, etc.)</t>
  </si>
  <si>
    <t>Other specify</t>
  </si>
  <si>
    <r>
      <t xml:space="preserve">5b. </t>
    </r>
    <r>
      <rPr>
        <b/>
        <sz val="12"/>
        <color rgb="FF000000"/>
        <rFont val="Arial Narrow"/>
        <family val="2"/>
      </rPr>
      <t>To what extent do the following statements describe the nature of support you receive from your interactions with duty bearers and service providers in # 5a?</t>
    </r>
  </si>
  <si>
    <t>Discuss SRH issues (STIs, HIV exposure, condom use, pregnancy preventions), disagreggated by Gender</t>
  </si>
  <si>
    <t>Discuss health needs related to puberty and adolescence (menstruation, hygiene, etc.), disagreggated by Gender</t>
  </si>
  <si>
    <t>Discuss life plans (intended careers, profession, college to go to, etc.), disagreggated by Gender</t>
  </si>
  <si>
    <t>Discuss dating, sex, or sexual relationships *, disagreggated by Gender</t>
  </si>
  <si>
    <t>Discuss risky behaviours (early sexual debut, substance abuse, gender-related violence, etc.), disagreggated by Gender</t>
  </si>
  <si>
    <t>Encourage you to access information on reproductive health, disagreggated by Gender</t>
  </si>
  <si>
    <t>Discuss dating, sex, or sexual relationship, disagreggated by Gender</t>
  </si>
  <si>
    <t>Serve as your role model or mentor, disagreggated by Gender</t>
  </si>
  <si>
    <t>Listen, or praise, or comfort you when you’re low/affected by some events, disagreggated by Gender</t>
  </si>
  <si>
    <t>Understand your sexual and reproductive health needs and rights, disagreggated by Gender</t>
  </si>
  <si>
    <t>Discuss health needs related to puberty and adolescence (menstruation, hygiene, etc.)</t>
  </si>
  <si>
    <t>Discuss SRH issues (STIs, HIV exposure, condom use, pregnancy preventions)</t>
  </si>
  <si>
    <t>Discuss life plans (intended careers, profession, college to go to, etc.)</t>
  </si>
  <si>
    <t>Discuss dating, sex, or sexual relationships</t>
  </si>
  <si>
    <t>Discuss risky behaviours (early sexual debut, substance abuse, gender-related violence, etc.)</t>
  </si>
  <si>
    <t>Encourage you to access information on reproductive health</t>
  </si>
  <si>
    <t>Discuss dating, sex, or sexual relationship</t>
  </si>
  <si>
    <t>Serve as your role model or mentor</t>
  </si>
  <si>
    <t>Listen, or praise, or comfort you when you’re low/affected by some events</t>
  </si>
  <si>
    <t>Understand your sexual and reproductive health needs and rights</t>
  </si>
  <si>
    <t>SRHR Training and frequency of discussing SRHR with Parents</t>
  </si>
  <si>
    <t>Column1</t>
  </si>
  <si>
    <t>Challenges and Solutions</t>
  </si>
  <si>
    <t>. Lack of money to seek for SRH services……HIAS should provide us with monthly stipend</t>
  </si>
  <si>
    <t>. Inadequate health care facilities….Come up with more health care facilities to cater for refugees only</t>
  </si>
  <si>
    <t>.Lack of knowledge on where to seek for SRH services…</t>
  </si>
  <si>
    <t>. Fear of stigma….Community should be sensitized on SRH issues to avoid cases of stigma poping up</t>
  </si>
  <si>
    <t>.Language barrier….come up with your health care facilities and employ some people from our origin to help us commuicate with them properly</t>
  </si>
  <si>
    <t>. Hostile communit around….create awareness to the communities; and tell them to live with refugees as their brothers and sisters</t>
  </si>
  <si>
    <t>. Lack of valid IDs to help us seek SRHR services…Kindly help us get Kenya IDs to help us seeks services and apply for jobs</t>
  </si>
  <si>
    <t>. Hostile doctors who abuse us as refugees…Ceate your health care facilities and employ doctors who understands the life of refugees</t>
  </si>
  <si>
    <t>. Too much expensive health care services…help us get NHIF cards to cater for our healt care charges</t>
  </si>
  <si>
    <t>.Inadequate SRH commodities, like condoms, Family Planning goods…come up with your health care facilities and fully make the SRH commodities available</t>
  </si>
  <si>
    <t>Frequency of discussing SRHR, disagreggated by Location</t>
  </si>
  <si>
    <t>Not Willing</t>
  </si>
  <si>
    <t>Training on SRHR disagreggated by  by Location</t>
  </si>
  <si>
    <t>Where is your place of stay/residence?</t>
  </si>
  <si>
    <t>No</t>
  </si>
  <si>
    <t>Yes</t>
  </si>
  <si>
    <t>You know places or facilities that provide youth-friendly SRHRH services for youth and adolescent refugees  Disagreggated by Location</t>
  </si>
  <si>
    <t>Providers at facilities/ organisations providing SRHRH services exhibit are positive attitude and competence to handle youth and adolescent SRH needs  Disagreggated by  Location</t>
  </si>
  <si>
    <t>You have access to counselling services on sexual and reproductive health problems  Disagreggated by Location</t>
  </si>
  <si>
    <t>You have been trained on SRHR Disagreggated by Location</t>
  </si>
  <si>
    <t>You have are confident to discuss SRH issues (STIs, HIV, condom use, pregnancy) with your parents  Disagreggated by Location</t>
  </si>
  <si>
    <t>You have access to hygiene products and services  Disagreggated by Location</t>
  </si>
  <si>
    <t>You have access to Comprehensive Sexuality Education (CSE) as part of your education disagreggated y Location</t>
  </si>
  <si>
    <t>There is a shortage of SRHR supplies, equipment and commodities in places that provide SRHR services, Disagreggated by Location</t>
  </si>
  <si>
    <t xml:space="preserve"> Referral links between programs and SRHR service delivery points are strong, Disagreggated by Location</t>
  </si>
  <si>
    <t>You have access to radio/ social media broadcast on Adolescent and Youth health issues, Disagreggated by Location</t>
  </si>
  <si>
    <t>It is okay for youth to discuss dating, sex, or sexual relationships with parents and guardians, disagreggated by location</t>
  </si>
  <si>
    <t>It is suitable for youths and adolescents  to access education resources (e.g., brochures) about puberty etc. disagreggated by location</t>
  </si>
  <si>
    <t>Adolescent girls who get pregnant deserve a second chance , disagreggated by location</t>
  </si>
  <si>
    <t>Boys should be educated about girl’s health needs related to puberty and adolescence (menstruation, hygiene, etc.) , disagreggated by location</t>
  </si>
  <si>
    <t>A woman can suggest using condoms just like a man can, disagreggated by location</t>
  </si>
  <si>
    <t>A woman should accept domestic violence to keep family together, disagreggated by location</t>
  </si>
  <si>
    <t>It is okay for a girl (&amp;lt;18 years) to get married as long as her parents/ guardians accept , disagreggated by location</t>
  </si>
  <si>
    <t xml:space="preserve">It is okay for a girl (&amp;lt;18 years) to get married as long as her parents/ guardians accept </t>
  </si>
  <si>
    <t>A man should have the final word about the decision on the number of children to have in his family, disagreggated by location</t>
  </si>
  <si>
    <t>Religious leaders should discuss dating, sex, or sexual relationships with youths and adolescents, disagreggated by location</t>
  </si>
  <si>
    <t>Teachers in schools should discuss dating, sex, or sexual relationships with youths and adolescents, disagreggated by location</t>
  </si>
  <si>
    <t>Teachers in schools should discuss dating, sex, or sexual relationships with youths and adolescents *, disagreggated by</t>
  </si>
  <si>
    <t>You feel that you are as important as other youths who are not refugees, disagreggated by location</t>
  </si>
  <si>
    <t>You feel confident to resist peer-pressure, disagreggated by location</t>
  </si>
  <si>
    <t>You can negotiate condom use, disagreggated by location</t>
  </si>
  <si>
    <t>You are confident to discuss SRH issues (STIs, HIV, condom use, pregnancy) with your peers, disagreggated by location</t>
  </si>
  <si>
    <t>You are confident to discuss SRH issues (STIs, HIV, condom use, pregnancy) with your peers.</t>
  </si>
  <si>
    <t>You are confident to discuss SRH issues (STIs, HIV, condom use, pregnancy) with your parents, disagreggated by location</t>
  </si>
  <si>
    <t>You are confident to discuss SRH issues (STIs, HIV, condom use, pregnancy) with your parents.</t>
  </si>
  <si>
    <t>You intend to abstain from sex until marriage, disagreggated by location</t>
  </si>
  <si>
    <t>You are confident to buy condoms in shops and relevant health facilities, disagreggated by location</t>
  </si>
  <si>
    <t>You are confident to do an HIV Test at a VCT/HTS, disagreggated by location</t>
  </si>
  <si>
    <t>Parent or Guardian, disagreggated by Location</t>
  </si>
  <si>
    <t>Neighbor, disagreggated by Location</t>
  </si>
  <si>
    <t>Neighbor,</t>
  </si>
  <si>
    <t>Peer (classmate, friend etc.), disagreggated by Location</t>
  </si>
  <si>
    <t>school official (headteacher, counsellor...), disagreggated by Location</t>
  </si>
  <si>
    <t>County education officer, disagreggated by Location</t>
  </si>
  <si>
    <t>Religious (pastor, priest, sheik, etc.), disagreggated by Location</t>
  </si>
  <si>
    <t>Health care provider (nurse, Dr., etc.), disagreggated by Location</t>
  </si>
  <si>
    <t>NGO officer (community worker, etc.), disagreggated by Location</t>
  </si>
  <si>
    <t>Other specify, disagreggated by Location</t>
  </si>
  <si>
    <r>
      <t xml:space="preserve">5b. </t>
    </r>
    <r>
      <rPr>
        <b/>
        <sz val="16"/>
        <color rgb="FF000000"/>
        <rFont val="Arial Narrow"/>
        <family val="2"/>
      </rPr>
      <t>To what extent do the following statements describe the nature of support you receive from your interactions with duty bearers and service providers in # 5a?</t>
    </r>
  </si>
  <si>
    <t>Discuss health needs related to puberty and adolescence (menstruation, hygiene, etc.), disagreggated by location</t>
  </si>
  <si>
    <t>Discuss SRH issues (STIs, HIV exposure, condom use, pregnancy preventions), disagreggated by location</t>
  </si>
  <si>
    <t>Discuss life plans (intended careers, profession, college to go to, etc.), disagreggated by location</t>
  </si>
  <si>
    <t>Discuss dating, sex, or sexual relationships, disagreggated by location</t>
  </si>
  <si>
    <t>Discuss risky behaviours (early sexual debut, substance abuse, gender-related violence, etc.), disagreggated by location</t>
  </si>
  <si>
    <t>Encourage you to access information on reproductive health, disagreggated by location</t>
  </si>
  <si>
    <t>Serve as your role model or mentor, disagreggated by location</t>
  </si>
  <si>
    <t>Listen, or praise, or comfort you when you’re low/affected by some events, disagreggated by location</t>
  </si>
  <si>
    <t>Understand your sexual and reproductive health needs and rights, disagreggated by location</t>
  </si>
  <si>
    <t>Other family members (sibling, uncle…), disagreggated by Location</t>
  </si>
  <si>
    <t>Have you ever sought SRHR services? Disagreggated by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</si>
</sst>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0"/>
    <numFmt numFmtId="165" formatCode="###0.0"/>
    <numFmt numFmtId="166" formatCode="0.0%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 Bold"/>
    </font>
    <font>
      <b/>
      <sz val="10"/>
      <color indexed="8"/>
      <name val="Arial"/>
      <family val="2"/>
    </font>
    <font>
      <b/>
      <sz val="11"/>
      <color indexed="8"/>
      <name val="Arial Bold"/>
    </font>
    <font>
      <b/>
      <sz val="11"/>
      <color indexed="8"/>
      <name val="Arial"/>
      <family val="2"/>
    </font>
    <font>
      <b/>
      <sz val="10"/>
      <color rgb="FFFFFF00"/>
      <name val="Arial Bold"/>
    </font>
    <font>
      <b/>
      <sz val="14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14"/>
      <color theme="1"/>
      <name val="Arial Narrow"/>
      <family val="2"/>
    </font>
    <font>
      <sz val="10"/>
      <name val="Arial"/>
    </font>
    <font>
      <sz val="9"/>
      <color indexed="8"/>
      <name val="Arial"/>
    </font>
    <font>
      <sz val="9"/>
      <color indexed="8"/>
      <name val="Arial Bold"/>
    </font>
    <font>
      <b/>
      <sz val="16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name val="Arial"/>
      <family val="2"/>
    </font>
    <font>
      <b/>
      <sz val="12"/>
      <color rgb="FF000000"/>
      <name val="Arial Narrow"/>
      <family val="2"/>
    </font>
    <font>
      <b/>
      <sz val="16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2" fillId="0" borderId="0"/>
    <xf numFmtId="0" fontId="2" fillId="0" borderId="0"/>
  </cellStyleXfs>
  <cellXfs count="194">
    <xf numFmtId="0" fontId="0" fillId="0" borderId="0" xfId="0"/>
    <xf numFmtId="0" fontId="2" fillId="0" borderId="0" xfId="1"/>
    <xf numFmtId="0" fontId="3" fillId="3" borderId="1" xfId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0" fontId="2" fillId="0" borderId="0" xfId="2"/>
    <xf numFmtId="0" fontId="3" fillId="3" borderId="1" xfId="2" applyFont="1" applyFill="1" applyBorder="1" applyAlignment="1">
      <alignment horizontal="center" wrapText="1"/>
    </xf>
    <xf numFmtId="0" fontId="2" fillId="0" borderId="1" xfId="2" applyBorder="1"/>
    <xf numFmtId="0" fontId="3" fillId="3" borderId="1" xfId="2" applyFont="1" applyFill="1" applyBorder="1" applyAlignment="1">
      <alignment horizontal="center" vertical="top" wrapText="1"/>
    </xf>
    <xf numFmtId="164" fontId="4" fillId="0" borderId="1" xfId="2" applyNumberFormat="1" applyFont="1" applyBorder="1" applyAlignment="1">
      <alignment horizontal="center" vertical="top"/>
    </xf>
    <xf numFmtId="164" fontId="7" fillId="0" borderId="1" xfId="2" applyNumberFormat="1" applyFont="1" applyBorder="1" applyAlignment="1">
      <alignment horizontal="center" vertical="top"/>
    </xf>
    <xf numFmtId="0" fontId="3" fillId="3" borderId="1" xfId="2" applyFont="1" applyFill="1" applyBorder="1" applyAlignment="1">
      <alignment horizontal="center" vertical="center" wrapText="1"/>
    </xf>
    <xf numFmtId="164" fontId="4" fillId="0" borderId="1" xfId="2" applyNumberFormat="1" applyFont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166" fontId="4" fillId="0" borderId="1" xfId="2" applyNumberFormat="1" applyFont="1" applyBorder="1" applyAlignment="1">
      <alignment horizontal="center" vertical="top"/>
    </xf>
    <xf numFmtId="166" fontId="7" fillId="0" borderId="1" xfId="2" applyNumberFormat="1" applyFont="1" applyBorder="1" applyAlignment="1">
      <alignment horizontal="center" vertical="top"/>
    </xf>
    <xf numFmtId="166" fontId="2" fillId="0" borderId="1" xfId="2" applyNumberFormat="1" applyBorder="1"/>
    <xf numFmtId="166" fontId="4" fillId="0" borderId="1" xfId="2" applyNumberFormat="1" applyFont="1" applyBorder="1" applyAlignment="1">
      <alignment horizontal="center" vertical="center"/>
    </xf>
    <xf numFmtId="166" fontId="7" fillId="0" borderId="1" xfId="2" applyNumberFormat="1" applyFont="1" applyBorder="1" applyAlignment="1">
      <alignment horizontal="center" vertical="center"/>
    </xf>
    <xf numFmtId="0" fontId="2" fillId="0" borderId="0" xfId="3"/>
    <xf numFmtId="0" fontId="3" fillId="3" borderId="1" xfId="3" applyFont="1" applyFill="1" applyBorder="1" applyAlignment="1">
      <alignment horizontal="center" vertical="center" wrapText="1"/>
    </xf>
    <xf numFmtId="164" fontId="4" fillId="0" borderId="1" xfId="3" applyNumberFormat="1" applyFont="1" applyBorder="1" applyAlignment="1">
      <alignment horizontal="center" vertical="center"/>
    </xf>
    <xf numFmtId="164" fontId="7" fillId="0" borderId="10" xfId="3" applyNumberFormat="1" applyFont="1" applyBorder="1" applyAlignment="1">
      <alignment horizontal="center" vertical="center"/>
    </xf>
    <xf numFmtId="164" fontId="7" fillId="0" borderId="11" xfId="3" applyNumberFormat="1" applyFont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 wrapText="1"/>
    </xf>
    <xf numFmtId="164" fontId="5" fillId="0" borderId="10" xfId="3" applyNumberFormat="1" applyFont="1" applyBorder="1" applyAlignment="1">
      <alignment horizontal="center" vertical="center"/>
    </xf>
    <xf numFmtId="166" fontId="5" fillId="0" borderId="13" xfId="3" applyNumberFormat="1" applyFont="1" applyBorder="1" applyAlignment="1">
      <alignment horizontal="center" vertical="center"/>
    </xf>
    <xf numFmtId="164" fontId="5" fillId="0" borderId="11" xfId="3" applyNumberFormat="1" applyFont="1" applyBorder="1" applyAlignment="1">
      <alignment horizontal="center" vertical="center"/>
    </xf>
    <xf numFmtId="166" fontId="7" fillId="0" borderId="13" xfId="3" applyNumberFormat="1" applyFont="1" applyBorder="1" applyAlignment="1">
      <alignment horizontal="center" vertical="center"/>
    </xf>
    <xf numFmtId="164" fontId="4" fillId="0" borderId="3" xfId="3" applyNumberFormat="1" applyFont="1" applyBorder="1" applyAlignment="1">
      <alignment horizontal="center" vertical="center"/>
    </xf>
    <xf numFmtId="0" fontId="3" fillId="3" borderId="10" xfId="3" applyFont="1" applyFill="1" applyBorder="1" applyAlignment="1">
      <alignment horizontal="center" vertical="center" wrapText="1"/>
    </xf>
    <xf numFmtId="0" fontId="3" fillId="3" borderId="5" xfId="3" applyFont="1" applyFill="1" applyBorder="1" applyAlignment="1">
      <alignment horizontal="center" vertical="center" wrapText="1"/>
    </xf>
    <xf numFmtId="166" fontId="5" fillId="0" borderId="15" xfId="3" applyNumberFormat="1" applyFont="1" applyBorder="1" applyAlignment="1">
      <alignment horizontal="center" vertical="center"/>
    </xf>
    <xf numFmtId="164" fontId="5" fillId="0" borderId="16" xfId="3" applyNumberFormat="1" applyFont="1" applyBorder="1" applyAlignment="1">
      <alignment horizontal="center" vertical="center"/>
    </xf>
    <xf numFmtId="166" fontId="5" fillId="0" borderId="12" xfId="3" applyNumberFormat="1" applyFont="1" applyBorder="1" applyAlignment="1">
      <alignment horizontal="center" vertical="center"/>
    </xf>
    <xf numFmtId="164" fontId="5" fillId="0" borderId="8" xfId="3" applyNumberFormat="1" applyFont="1" applyBorder="1" applyAlignment="1">
      <alignment horizontal="center" vertical="center"/>
    </xf>
    <xf numFmtId="0" fontId="14" fillId="0" borderId="0" xfId="4"/>
    <xf numFmtId="0" fontId="0" fillId="0" borderId="0" xfId="0" applyAlignment="1">
      <alignment horizontal="center" vertical="center"/>
    </xf>
    <xf numFmtId="0" fontId="14" fillId="0" borderId="0" xfId="4" applyAlignment="1">
      <alignment horizontal="center" vertical="center"/>
    </xf>
    <xf numFmtId="0" fontId="3" fillId="3" borderId="1" xfId="4" applyFont="1" applyFill="1" applyBorder="1" applyAlignment="1">
      <alignment horizontal="center" vertical="center" wrapText="1"/>
    </xf>
    <xf numFmtId="164" fontId="15" fillId="0" borderId="1" xfId="4" applyNumberFormat="1" applyFont="1" applyBorder="1" applyAlignment="1">
      <alignment horizontal="center" vertical="center"/>
    </xf>
    <xf numFmtId="164" fontId="5" fillId="0" borderId="1" xfId="4" applyNumberFormat="1" applyFont="1" applyBorder="1" applyAlignment="1">
      <alignment horizontal="center" vertical="center"/>
    </xf>
    <xf numFmtId="164" fontId="7" fillId="0" borderId="1" xfId="4" applyNumberFormat="1" applyFont="1" applyBorder="1" applyAlignment="1">
      <alignment horizontal="center" vertical="center"/>
    </xf>
    <xf numFmtId="166" fontId="7" fillId="0" borderId="1" xfId="4" applyNumberFormat="1" applyFont="1" applyBorder="1" applyAlignment="1">
      <alignment horizontal="center" vertical="center"/>
    </xf>
    <xf numFmtId="166" fontId="5" fillId="0" borderId="1" xfId="4" applyNumberFormat="1" applyFont="1" applyBorder="1" applyAlignment="1">
      <alignment horizontal="center" vertical="center"/>
    </xf>
    <xf numFmtId="0" fontId="14" fillId="2" borderId="0" xfId="4" applyFill="1"/>
    <xf numFmtId="0" fontId="0" fillId="2" borderId="0" xfId="0" applyFill="1" applyAlignment="1">
      <alignment horizontal="center" vertical="center"/>
    </xf>
    <xf numFmtId="0" fontId="14" fillId="2" borderId="0" xfId="4" applyFill="1" applyAlignment="1">
      <alignment horizontal="center" vertical="center"/>
    </xf>
    <xf numFmtId="0" fontId="14" fillId="0" borderId="0" xfId="5"/>
    <xf numFmtId="0" fontId="3" fillId="3" borderId="1" xfId="5" applyFont="1" applyFill="1" applyBorder="1" applyAlignment="1">
      <alignment horizontal="center" vertical="center" wrapText="1"/>
    </xf>
    <xf numFmtId="164" fontId="15" fillId="0" borderId="1" xfId="5" applyNumberFormat="1" applyFont="1" applyBorder="1" applyAlignment="1">
      <alignment horizontal="center" vertical="center"/>
    </xf>
    <xf numFmtId="166" fontId="5" fillId="0" borderId="1" xfId="5" applyNumberFormat="1" applyFont="1" applyBorder="1" applyAlignment="1">
      <alignment horizontal="center" vertical="center"/>
    </xf>
    <xf numFmtId="164" fontId="5" fillId="0" borderId="1" xfId="5" applyNumberFormat="1" applyFont="1" applyBorder="1" applyAlignment="1">
      <alignment horizontal="center" vertical="center"/>
    </xf>
    <xf numFmtId="164" fontId="7" fillId="0" borderId="1" xfId="5" applyNumberFormat="1" applyFont="1" applyBorder="1" applyAlignment="1">
      <alignment horizontal="center" vertical="center"/>
    </xf>
    <xf numFmtId="166" fontId="7" fillId="0" borderId="1" xfId="5" applyNumberFormat="1" applyFont="1" applyBorder="1" applyAlignment="1">
      <alignment horizontal="center" vertical="center"/>
    </xf>
    <xf numFmtId="0" fontId="2" fillId="0" borderId="0" xfId="6"/>
    <xf numFmtId="0" fontId="3" fillId="3" borderId="1" xfId="6" applyFont="1" applyFill="1" applyBorder="1" applyAlignment="1">
      <alignment horizontal="center" vertical="center" wrapText="1"/>
    </xf>
    <xf numFmtId="164" fontId="4" fillId="0" borderId="1" xfId="6" applyNumberFormat="1" applyFont="1" applyBorder="1" applyAlignment="1">
      <alignment horizontal="center" vertical="center"/>
    </xf>
    <xf numFmtId="164" fontId="5" fillId="0" borderId="1" xfId="6" applyNumberFormat="1" applyFont="1" applyBorder="1" applyAlignment="1">
      <alignment horizontal="center" vertical="center"/>
    </xf>
    <xf numFmtId="164" fontId="7" fillId="0" borderId="1" xfId="6" applyNumberFormat="1" applyFont="1" applyBorder="1" applyAlignment="1">
      <alignment horizontal="center" vertical="center"/>
    </xf>
    <xf numFmtId="164" fontId="7" fillId="0" borderId="23" xfId="6" applyNumberFormat="1" applyFont="1" applyBorder="1" applyAlignment="1">
      <alignment horizontal="center" vertical="center"/>
    </xf>
    <xf numFmtId="164" fontId="7" fillId="0" borderId="24" xfId="6" applyNumberFormat="1" applyFont="1" applyBorder="1" applyAlignment="1">
      <alignment horizontal="center" vertical="center"/>
    </xf>
    <xf numFmtId="164" fontId="7" fillId="0" borderId="25" xfId="6" applyNumberFormat="1" applyFont="1" applyBorder="1" applyAlignment="1">
      <alignment horizontal="center" vertical="center"/>
    </xf>
    <xf numFmtId="166" fontId="7" fillId="0" borderId="1" xfId="6" applyNumberFormat="1" applyFont="1" applyBorder="1" applyAlignment="1">
      <alignment horizontal="center" vertical="center"/>
    </xf>
    <xf numFmtId="166" fontId="5" fillId="0" borderId="1" xfId="6" applyNumberFormat="1" applyFont="1" applyBorder="1" applyAlignment="1">
      <alignment horizontal="center" vertical="center"/>
    </xf>
    <xf numFmtId="9" fontId="5" fillId="0" borderId="1" xfId="6" applyNumberFormat="1" applyFont="1" applyBorder="1" applyAlignment="1">
      <alignment horizontal="center" vertical="center"/>
    </xf>
    <xf numFmtId="9" fontId="7" fillId="0" borderId="1" xfId="6" applyNumberFormat="1" applyFont="1" applyBorder="1" applyAlignment="1">
      <alignment horizontal="center" vertical="center"/>
    </xf>
    <xf numFmtId="166" fontId="7" fillId="0" borderId="26" xfId="6" applyNumberFormat="1" applyFont="1" applyBorder="1" applyAlignment="1">
      <alignment horizontal="center" vertical="center"/>
    </xf>
    <xf numFmtId="166" fontId="19" fillId="0" borderId="0" xfId="6" applyNumberFormat="1" applyFont="1" applyAlignment="1">
      <alignment horizontal="center" vertical="center"/>
    </xf>
    <xf numFmtId="0" fontId="2" fillId="0" borderId="0" xfId="7"/>
    <xf numFmtId="0" fontId="3" fillId="3" borderId="1" xfId="7" applyFont="1" applyFill="1" applyBorder="1" applyAlignment="1">
      <alignment horizontal="center" vertical="center" wrapText="1"/>
    </xf>
    <xf numFmtId="164" fontId="4" fillId="0" borderId="1" xfId="7" applyNumberFormat="1" applyFont="1" applyBorder="1" applyAlignment="1">
      <alignment horizontal="center" vertical="center"/>
    </xf>
    <xf numFmtId="164" fontId="5" fillId="0" borderId="1" xfId="7" applyNumberFormat="1" applyFont="1" applyBorder="1" applyAlignment="1">
      <alignment horizontal="center" vertical="center"/>
    </xf>
    <xf numFmtId="164" fontId="7" fillId="0" borderId="1" xfId="7" applyNumberFormat="1" applyFont="1" applyBorder="1" applyAlignment="1">
      <alignment horizontal="center" vertical="center"/>
    </xf>
    <xf numFmtId="166" fontId="5" fillId="0" borderId="1" xfId="7" applyNumberFormat="1" applyFont="1" applyBorder="1" applyAlignment="1">
      <alignment horizontal="center" vertical="center"/>
    </xf>
    <xf numFmtId="166" fontId="7" fillId="0" borderId="1" xfId="7" applyNumberFormat="1" applyFont="1" applyBorder="1" applyAlignment="1">
      <alignment horizontal="center" vertical="center"/>
    </xf>
    <xf numFmtId="0" fontId="16" fillId="3" borderId="1" xfId="7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wrapText="1"/>
    </xf>
    <xf numFmtId="0" fontId="3" fillId="3" borderId="1" xfId="2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35" xfId="0" applyBorder="1"/>
    <xf numFmtId="0" fontId="0" fillId="0" borderId="36" xfId="0" applyBorder="1"/>
    <xf numFmtId="0" fontId="3" fillId="3" borderId="10" xfId="3" applyFont="1" applyFill="1" applyBorder="1" applyAlignment="1">
      <alignment horizontal="center" vertical="center" wrapText="1"/>
    </xf>
    <xf numFmtId="9" fontId="7" fillId="0" borderId="1" xfId="2" applyNumberFormat="1" applyFont="1" applyBorder="1" applyAlignment="1">
      <alignment horizontal="center" vertical="center"/>
    </xf>
    <xf numFmtId="166" fontId="5" fillId="0" borderId="1" xfId="2" applyNumberFormat="1" applyFont="1" applyBorder="1" applyAlignment="1">
      <alignment horizontal="center" vertical="top"/>
    </xf>
    <xf numFmtId="164" fontId="5" fillId="0" borderId="1" xfId="2" applyNumberFormat="1" applyFont="1" applyBorder="1" applyAlignment="1">
      <alignment horizontal="center" vertical="top"/>
    </xf>
    <xf numFmtId="0" fontId="3" fillId="3" borderId="10" xfId="3" applyFont="1" applyFill="1" applyBorder="1" applyAlignment="1">
      <alignment horizontal="center" vertical="center" wrapText="1"/>
    </xf>
    <xf numFmtId="164" fontId="4" fillId="0" borderId="37" xfId="3" applyNumberFormat="1" applyFont="1" applyFill="1" applyBorder="1" applyAlignment="1">
      <alignment horizontal="center" vertical="center"/>
    </xf>
    <xf numFmtId="0" fontId="3" fillId="3" borderId="10" xfId="3" applyFont="1" applyFill="1" applyBorder="1" applyAlignment="1">
      <alignment horizontal="center" vertical="center" wrapText="1"/>
    </xf>
    <xf numFmtId="0" fontId="3" fillId="3" borderId="1" xfId="6" applyFont="1" applyFill="1" applyBorder="1" applyAlignment="1">
      <alignment horizontal="center" vertical="center" wrapText="1"/>
    </xf>
    <xf numFmtId="166" fontId="0" fillId="0" borderId="0" xfId="0" applyNumberFormat="1"/>
    <xf numFmtId="9" fontId="5" fillId="0" borderId="10" xfId="3" applyNumberFormat="1" applyFont="1" applyBorder="1" applyAlignment="1">
      <alignment horizontal="center" vertical="center"/>
    </xf>
    <xf numFmtId="166" fontId="5" fillId="0" borderId="10" xfId="3" applyNumberFormat="1" applyFont="1" applyBorder="1" applyAlignment="1">
      <alignment horizontal="center" vertical="center"/>
    </xf>
    <xf numFmtId="164" fontId="4" fillId="0" borderId="28" xfId="6" applyNumberFormat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4" borderId="0" xfId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6" fillId="3" borderId="1" xfId="2" applyFont="1" applyFill="1" applyBorder="1" applyAlignment="1">
      <alignment horizontal="center" vertical="top" wrapText="1"/>
    </xf>
    <xf numFmtId="0" fontId="10" fillId="4" borderId="1" xfId="2" applyFont="1" applyFill="1" applyBorder="1" applyAlignment="1">
      <alignment horizontal="left" vertical="center" wrapText="1"/>
    </xf>
    <xf numFmtId="0" fontId="10" fillId="4" borderId="0" xfId="2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center" wrapText="1"/>
    </xf>
    <xf numFmtId="0" fontId="3" fillId="3" borderId="1" xfId="2" applyFont="1" applyFill="1" applyBorder="1" applyAlignment="1">
      <alignment horizontal="center" vertical="top" wrapText="1"/>
    </xf>
    <xf numFmtId="0" fontId="10" fillId="4" borderId="0" xfId="2" applyFont="1" applyFill="1" applyBorder="1" applyAlignment="1">
      <alignment horizontal="left" vertical="top" wrapText="1"/>
    </xf>
    <xf numFmtId="164" fontId="4" fillId="0" borderId="2" xfId="2" applyNumberFormat="1" applyFont="1" applyBorder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6" fontId="5" fillId="0" borderId="2" xfId="2" applyNumberFormat="1" applyFont="1" applyBorder="1" applyAlignment="1">
      <alignment horizontal="center" vertical="center"/>
    </xf>
    <xf numFmtId="166" fontId="5" fillId="0" borderId="3" xfId="2" applyNumberFormat="1" applyFont="1" applyBorder="1" applyAlignment="1">
      <alignment horizontal="center" vertical="center"/>
    </xf>
    <xf numFmtId="164" fontId="5" fillId="0" borderId="2" xfId="2" applyNumberFormat="1" applyFont="1" applyBorder="1" applyAlignment="1">
      <alignment horizontal="center" vertical="center"/>
    </xf>
    <xf numFmtId="164" fontId="5" fillId="0" borderId="3" xfId="2" applyNumberFormat="1" applyFont="1" applyBorder="1" applyAlignment="1">
      <alignment horizontal="center" vertical="center"/>
    </xf>
    <xf numFmtId="0" fontId="3" fillId="0" borderId="0" xfId="3" applyFont="1" applyBorder="1" applyAlignment="1">
      <alignment horizontal="center" vertical="center" wrapText="1"/>
    </xf>
    <xf numFmtId="0" fontId="3" fillId="3" borderId="4" xfId="3" applyFont="1" applyFill="1" applyBorder="1" applyAlignment="1">
      <alignment horizontal="center" vertical="center" wrapText="1"/>
    </xf>
    <xf numFmtId="0" fontId="3" fillId="3" borderId="5" xfId="3" applyFont="1" applyFill="1" applyBorder="1" applyAlignment="1">
      <alignment horizontal="center" vertical="center" wrapText="1"/>
    </xf>
    <xf numFmtId="0" fontId="3" fillId="3" borderId="9" xfId="3" applyFont="1" applyFill="1" applyBorder="1" applyAlignment="1">
      <alignment horizontal="center" vertical="center" wrapText="1"/>
    </xf>
    <xf numFmtId="0" fontId="3" fillId="3" borderId="10" xfId="3" applyFont="1" applyFill="1" applyBorder="1" applyAlignment="1">
      <alignment horizontal="center" vertical="center" wrapText="1"/>
    </xf>
    <xf numFmtId="0" fontId="3" fillId="3" borderId="6" xfId="3" applyFont="1" applyFill="1" applyBorder="1" applyAlignment="1">
      <alignment horizontal="center" vertical="center" wrapText="1"/>
    </xf>
    <xf numFmtId="0" fontId="3" fillId="3" borderId="11" xfId="3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3" borderId="17" xfId="3" applyFont="1" applyFill="1" applyBorder="1" applyAlignment="1">
      <alignment horizontal="center" vertical="center" wrapText="1"/>
    </xf>
    <xf numFmtId="0" fontId="3" fillId="3" borderId="7" xfId="3" applyFont="1" applyFill="1" applyBorder="1" applyAlignment="1">
      <alignment horizontal="center" vertical="center" wrapText="1"/>
    </xf>
    <xf numFmtId="0" fontId="6" fillId="3" borderId="9" xfId="3" applyFont="1" applyFill="1" applyBorder="1" applyAlignment="1">
      <alignment horizontal="center" vertical="center" wrapText="1"/>
    </xf>
    <xf numFmtId="0" fontId="6" fillId="3" borderId="10" xfId="3" applyFont="1" applyFill="1" applyBorder="1" applyAlignment="1">
      <alignment horizontal="center" vertical="center" wrapText="1"/>
    </xf>
    <xf numFmtId="0" fontId="3" fillId="3" borderId="19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 wrapText="1"/>
    </xf>
    <xf numFmtId="0" fontId="3" fillId="3" borderId="18" xfId="3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left" vertical="center"/>
    </xf>
    <xf numFmtId="0" fontId="3" fillId="3" borderId="1" xfId="4" applyFont="1" applyFill="1" applyBorder="1" applyAlignment="1">
      <alignment horizontal="center" vertical="center" wrapText="1"/>
    </xf>
    <xf numFmtId="0" fontId="3" fillId="3" borderId="2" xfId="4" applyFont="1" applyFill="1" applyBorder="1" applyAlignment="1">
      <alignment horizontal="center" vertical="center" wrapText="1"/>
    </xf>
    <xf numFmtId="0" fontId="3" fillId="3" borderId="3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 wrapText="1"/>
    </xf>
    <xf numFmtId="0" fontId="3" fillId="0" borderId="0" xfId="4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3" fillId="3" borderId="7" xfId="4" applyFont="1" applyFill="1" applyBorder="1" applyAlignment="1">
      <alignment horizontal="center" vertical="center" wrapText="1"/>
    </xf>
    <xf numFmtId="166" fontId="3" fillId="3" borderId="14" xfId="3" applyNumberFormat="1" applyFont="1" applyFill="1" applyBorder="1" applyAlignment="1">
      <alignment horizontal="center" vertical="center" wrapText="1"/>
    </xf>
    <xf numFmtId="166" fontId="3" fillId="3" borderId="18" xfId="3" applyNumberFormat="1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/>
    </xf>
    <xf numFmtId="0" fontId="3" fillId="0" borderId="0" xfId="5" applyFont="1" applyBorder="1" applyAlignment="1">
      <alignment horizontal="center" vertical="center" wrapText="1"/>
    </xf>
    <xf numFmtId="0" fontId="3" fillId="3" borderId="1" xfId="5" applyFont="1" applyFill="1" applyBorder="1" applyAlignment="1">
      <alignment horizontal="center" vertical="center" wrapText="1"/>
    </xf>
    <xf numFmtId="0" fontId="6" fillId="3" borderId="1" xfId="5" applyFont="1" applyFill="1" applyBorder="1" applyAlignment="1">
      <alignment horizontal="center" vertical="center" wrapText="1"/>
    </xf>
    <xf numFmtId="0" fontId="3" fillId="3" borderId="40" xfId="3" applyFont="1" applyFill="1" applyBorder="1" applyAlignment="1">
      <alignment horizontal="center" vertical="center" wrapText="1"/>
    </xf>
    <xf numFmtId="0" fontId="3" fillId="3" borderId="41" xfId="3" applyFont="1" applyFill="1" applyBorder="1" applyAlignment="1">
      <alignment horizontal="center" vertical="center" wrapText="1"/>
    </xf>
    <xf numFmtId="0" fontId="3" fillId="0" borderId="49" xfId="3" applyFont="1" applyBorder="1" applyAlignment="1">
      <alignment horizontal="center" vertical="center" wrapText="1"/>
    </xf>
    <xf numFmtId="0" fontId="3" fillId="3" borderId="34" xfId="3" applyFont="1" applyFill="1" applyBorder="1" applyAlignment="1">
      <alignment horizontal="center" vertical="center" wrapText="1"/>
    </xf>
    <xf numFmtId="0" fontId="3" fillId="3" borderId="47" xfId="3" applyFont="1" applyFill="1" applyBorder="1" applyAlignment="1">
      <alignment horizontal="center" vertical="center" wrapText="1"/>
    </xf>
    <xf numFmtId="0" fontId="3" fillId="3" borderId="36" xfId="3" applyFont="1" applyFill="1" applyBorder="1" applyAlignment="1">
      <alignment horizontal="center" vertical="center" wrapText="1"/>
    </xf>
    <xf numFmtId="0" fontId="3" fillId="3" borderId="48" xfId="3" applyFont="1" applyFill="1" applyBorder="1" applyAlignment="1">
      <alignment horizontal="center" vertical="center" wrapText="1"/>
    </xf>
    <xf numFmtId="0" fontId="3" fillId="3" borderId="44" xfId="3" applyFont="1" applyFill="1" applyBorder="1" applyAlignment="1">
      <alignment horizontal="center" vertical="center" wrapText="1"/>
    </xf>
    <xf numFmtId="0" fontId="3" fillId="3" borderId="45" xfId="3" applyFont="1" applyFill="1" applyBorder="1" applyAlignment="1">
      <alignment horizontal="center" vertical="center" wrapText="1"/>
    </xf>
    <xf numFmtId="0" fontId="3" fillId="3" borderId="46" xfId="3" applyFont="1" applyFill="1" applyBorder="1" applyAlignment="1">
      <alignment horizontal="center" vertical="center" wrapText="1"/>
    </xf>
    <xf numFmtId="0" fontId="3" fillId="3" borderId="42" xfId="3" applyFont="1" applyFill="1" applyBorder="1" applyAlignment="1">
      <alignment horizontal="center" vertical="center" wrapText="1"/>
    </xf>
    <xf numFmtId="0" fontId="3" fillId="3" borderId="43" xfId="3" applyFont="1" applyFill="1" applyBorder="1" applyAlignment="1">
      <alignment horizontal="center" vertical="center" wrapText="1"/>
    </xf>
    <xf numFmtId="0" fontId="3" fillId="3" borderId="38" xfId="3" applyFont="1" applyFill="1" applyBorder="1" applyAlignment="1">
      <alignment horizontal="center" vertical="center" wrapText="1"/>
    </xf>
    <xf numFmtId="0" fontId="3" fillId="3" borderId="39" xfId="3" applyFont="1" applyFill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3" borderId="1" xfId="6" applyFont="1" applyFill="1" applyBorder="1" applyAlignment="1">
      <alignment horizontal="center" vertical="center" wrapText="1"/>
    </xf>
    <xf numFmtId="0" fontId="6" fillId="3" borderId="1" xfId="6" applyFont="1" applyFill="1" applyBorder="1" applyAlignment="1">
      <alignment horizontal="center" vertical="center" wrapText="1"/>
    </xf>
    <xf numFmtId="0" fontId="3" fillId="3" borderId="2" xfId="6" applyFont="1" applyFill="1" applyBorder="1" applyAlignment="1">
      <alignment horizontal="center" vertical="center" wrapText="1"/>
    </xf>
    <xf numFmtId="0" fontId="3" fillId="3" borderId="3" xfId="6" applyFont="1" applyFill="1" applyBorder="1" applyAlignment="1">
      <alignment horizontal="center" vertical="center" wrapText="1"/>
    </xf>
    <xf numFmtId="0" fontId="6" fillId="3" borderId="21" xfId="6" applyFont="1" applyFill="1" applyBorder="1" applyAlignment="1">
      <alignment horizontal="center" vertical="center" wrapText="1"/>
    </xf>
    <xf numFmtId="0" fontId="6" fillId="3" borderId="22" xfId="6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0" fontId="3" fillId="0" borderId="0" xfId="7" applyFont="1" applyBorder="1" applyAlignment="1">
      <alignment horizontal="center" vertical="center" wrapText="1"/>
    </xf>
    <xf numFmtId="0" fontId="3" fillId="3" borderId="1" xfId="7" applyFont="1" applyFill="1" applyBorder="1" applyAlignment="1">
      <alignment horizontal="center" vertical="center" wrapText="1"/>
    </xf>
    <xf numFmtId="0" fontId="6" fillId="3" borderId="1" xfId="7" applyFont="1" applyFill="1" applyBorder="1" applyAlignment="1">
      <alignment horizontal="center" vertical="center" wrapText="1"/>
    </xf>
    <xf numFmtId="0" fontId="16" fillId="3" borderId="1" xfId="7" applyFont="1" applyFill="1" applyBorder="1" applyAlignment="1">
      <alignment horizontal="center" vertical="center" wrapText="1"/>
    </xf>
    <xf numFmtId="0" fontId="3" fillId="3" borderId="2" xfId="7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3" fillId="3" borderId="12" xfId="7" applyFont="1" applyFill="1" applyBorder="1" applyAlignment="1">
      <alignment horizontal="center" vertical="center" wrapText="1"/>
    </xf>
    <xf numFmtId="0" fontId="3" fillId="3" borderId="29" xfId="7" applyFont="1" applyFill="1" applyBorder="1" applyAlignment="1">
      <alignment horizontal="center" vertical="center" wrapText="1"/>
    </xf>
    <xf numFmtId="0" fontId="3" fillId="3" borderId="27" xfId="7" applyFont="1" applyFill="1" applyBorder="1" applyAlignment="1">
      <alignment horizontal="center" vertical="center" wrapText="1"/>
    </xf>
    <xf numFmtId="0" fontId="3" fillId="3" borderId="30" xfId="7" applyFont="1" applyFill="1" applyBorder="1" applyAlignment="1">
      <alignment horizontal="center" vertical="center" wrapText="1"/>
    </xf>
    <xf numFmtId="0" fontId="3" fillId="3" borderId="31" xfId="7" applyFont="1" applyFill="1" applyBorder="1" applyAlignment="1">
      <alignment horizontal="center" vertical="center" wrapText="1"/>
    </xf>
    <xf numFmtId="0" fontId="3" fillId="3" borderId="15" xfId="7" applyFont="1" applyFill="1" applyBorder="1" applyAlignment="1">
      <alignment horizontal="center" vertical="center" wrapText="1"/>
    </xf>
    <xf numFmtId="0" fontId="3" fillId="3" borderId="32" xfId="7" applyFont="1" applyFill="1" applyBorder="1" applyAlignment="1">
      <alignment horizontal="center" vertical="center" wrapText="1"/>
    </xf>
    <xf numFmtId="0" fontId="3" fillId="0" borderId="33" xfId="7" applyFont="1" applyBorder="1" applyAlignment="1">
      <alignment horizontal="center" vertical="center" wrapText="1"/>
    </xf>
    <xf numFmtId="0" fontId="3" fillId="3" borderId="28" xfId="7" applyFont="1" applyFill="1" applyBorder="1" applyAlignment="1">
      <alignment horizontal="center" vertical="center" wrapText="1"/>
    </xf>
    <xf numFmtId="0" fontId="6" fillId="3" borderId="12" xfId="7" applyFont="1" applyFill="1" applyBorder="1" applyAlignment="1">
      <alignment horizontal="center" vertical="center" wrapText="1"/>
    </xf>
    <xf numFmtId="0" fontId="6" fillId="3" borderId="27" xfId="7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0" fontId="0" fillId="0" borderId="20" xfId="0" applyBorder="1" applyAlignment="1">
      <alignment horizontal="center"/>
    </xf>
  </cellXfs>
  <cellStyles count="8">
    <cellStyle name="Normal" xfId="0" builtinId="0"/>
    <cellStyle name="Normal_Accesibility of SRHR Services" xfId="3"/>
    <cellStyle name="Normal_Demographics" xfId="1"/>
    <cellStyle name="Normal_Section 3" xfId="4"/>
    <cellStyle name="Normal_Section 4" xfId="5"/>
    <cellStyle name="Normal_SECTION 5" xfId="6"/>
    <cellStyle name="Normal_SECTION 5b" xfId="7"/>
    <cellStyle name="Normal_Sheet2" xfId="2"/>
  </cellStyles>
  <dxfs count="2"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Extent</a:t>
            </a:r>
            <a:r>
              <a:rPr lang="en-US" sz="1100" baseline="0"/>
              <a:t> of Agreement/Disagrement on Seeking SRHR Services</a:t>
            </a: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010339085000262"/>
          <c:y val="0.11964969463781554"/>
          <c:w val="0.69869865928921049"/>
          <c:h val="0.726210064259208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Sheet4!$D$3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Sheet4!$C$4:$C$9</c:f>
              <c:strCache>
                <c:ptCount val="6"/>
                <c:pt idx="1">
                  <c:v>agree</c:v>
                </c:pt>
                <c:pt idx="2">
                  <c:v>agree_strongly</c:v>
                </c:pt>
                <c:pt idx="3">
                  <c:v>disagree</c:v>
                </c:pt>
                <c:pt idx="4">
                  <c:v>disagree_strongly</c:v>
                </c:pt>
                <c:pt idx="5">
                  <c:v>neutral</c:v>
                </c:pt>
              </c:strCache>
            </c:strRef>
          </c:cat>
          <c:val>
            <c:numRef>
              <c:f>Sheet4!$D$4:$D$9</c:f>
              <c:numCache>
                <c:formatCode>###0</c:formatCode>
                <c:ptCount val="6"/>
                <c:pt idx="1">
                  <c:v>29</c:v>
                </c:pt>
                <c:pt idx="2">
                  <c:v>11</c:v>
                </c:pt>
                <c:pt idx="3">
                  <c:v>11</c:v>
                </c:pt>
                <c:pt idx="4">
                  <c:v>30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4-4636-B6E6-C86032CA5F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15678912"/>
        <c:axId val="815682240"/>
      </c:barChart>
      <c:catAx>
        <c:axId val="815678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Exxtent of Agreement/Disagrement</a:t>
                </a:r>
              </a:p>
            </c:rich>
          </c:tx>
          <c:layout>
            <c:manualLayout>
              <c:xMode val="edge"/>
              <c:yMode val="edge"/>
              <c:x val="3.2080200501253132E-2"/>
              <c:y val="0.20559175201139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82240"/>
        <c:crosses val="autoZero"/>
        <c:auto val="1"/>
        <c:lblAlgn val="ctr"/>
        <c:lblOffset val="100"/>
        <c:noMultiLvlLbl val="0"/>
      </c:catAx>
      <c:valAx>
        <c:axId val="81568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7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on knowing places or facilities that provide youth-friendly SRHRH services for youth and adolescent refugees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61602465252368"/>
          <c:y val="0.21129629629629629"/>
          <c:w val="0.6854910174964074"/>
          <c:h val="0.58878098571011961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Sheet4!$C$12:$C$16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Sheet4!$D$12:$D$16</c:f>
              <c:numCache>
                <c:formatCode>###0</c:formatCode>
                <c:ptCount val="5"/>
                <c:pt idx="0">
                  <c:v>32</c:v>
                </c:pt>
                <c:pt idx="1">
                  <c:v>13</c:v>
                </c:pt>
                <c:pt idx="2">
                  <c:v>13</c:v>
                </c:pt>
                <c:pt idx="3">
                  <c:v>22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5-409C-A1E3-CCBCDB47A0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28975456"/>
        <c:axId val="1028960896"/>
      </c:barChart>
      <c:catAx>
        <c:axId val="102897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</a:t>
                </a:r>
                <a:r>
                  <a:rPr lang="en-US" sz="1000" b="1" baseline="0"/>
                  <a:t> of Agreement/Disagreement</a:t>
                </a:r>
                <a:endParaRPr lang="en-US" sz="1000" b="1"/>
              </a:p>
            </c:rich>
          </c:tx>
          <c:layout>
            <c:manualLayout>
              <c:xMode val="edge"/>
              <c:yMode val="edge"/>
              <c:x val="1.0152997310763478E-2"/>
              <c:y val="0.1876390560350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60896"/>
        <c:crosses val="autoZero"/>
        <c:auto val="1"/>
        <c:lblAlgn val="ctr"/>
        <c:lblOffset val="100"/>
        <c:noMultiLvlLbl val="0"/>
      </c:catAx>
      <c:valAx>
        <c:axId val="102896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4248854944648058"/>
              <c:y val="0.88895815106445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7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Extent of Agreement/Disagrement on knowing whether Providers at facilities/ organisations providing SRHRH services exhibit are positive attitude and competence to handle youth and adolescent SRH needs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991428286654039"/>
          <c:y val="0.21689986282578874"/>
          <c:w val="0.67363604865847471"/>
          <c:h val="0.5394605921173433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Sheet4!$C$18:$C$22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Sheet4!$D$18:$D$22</c:f>
              <c:numCache>
                <c:formatCode>###0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10</c:v>
                </c:pt>
                <c:pt idx="3">
                  <c:v>20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6-40E0-A42F-E88953873B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29678336"/>
        <c:axId val="929684160"/>
      </c:barChart>
      <c:catAx>
        <c:axId val="929678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4466546112115732E-2"/>
              <c:y val="0.15105624142661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684160"/>
        <c:crosses val="autoZero"/>
        <c:auto val="1"/>
        <c:lblAlgn val="ctr"/>
        <c:lblOffset val="100"/>
        <c:noMultiLvlLbl val="0"/>
      </c:catAx>
      <c:valAx>
        <c:axId val="92968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6529090113735783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67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Extent of Agreement/Disagreement of</a:t>
            </a:r>
            <a:r>
              <a:rPr lang="en-US" sz="1000" b="1" baseline="0"/>
              <a:t> having access to counselling services on sexual and reproductive health problems</a:t>
            </a:r>
            <a:endParaRPr lang="en-US" sz="1000" b="1"/>
          </a:p>
        </c:rich>
      </c:tx>
      <c:layout>
        <c:manualLayout>
          <c:xMode val="edge"/>
          <c:yMode val="edge"/>
          <c:x val="0.10603988209733889"/>
          <c:y val="2.391629297458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129483814524"/>
          <c:y val="0.1412616652085156"/>
          <c:w val="0.83855314960629923"/>
          <c:h val="0.484453557888597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Sheet4!$C$27:$C$31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Sheet4!$D$27:$D$31</c:f>
              <c:numCache>
                <c:formatCode>###0</c:formatCode>
                <c:ptCount val="5"/>
                <c:pt idx="0">
                  <c:v>25</c:v>
                </c:pt>
                <c:pt idx="1">
                  <c:v>11</c:v>
                </c:pt>
                <c:pt idx="2">
                  <c:v>13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8-4A2A-98ED-EBDD163ED1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5670592"/>
        <c:axId val="815678080"/>
      </c:barChart>
      <c:catAx>
        <c:axId val="81567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3186679790026239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78080"/>
        <c:crosses val="autoZero"/>
        <c:auto val="1"/>
        <c:lblAlgn val="ctr"/>
        <c:lblOffset val="100"/>
        <c:noMultiLvlLbl val="0"/>
      </c:catAx>
      <c:valAx>
        <c:axId val="815678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17171296296296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7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>
                <a:effectLst/>
              </a:rPr>
              <a:t>Extent of Agreement/Disagreement on being trained on SRHR </a:t>
            </a:r>
            <a:endParaRPr lang="en-US" sz="10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80463371397944"/>
          <c:y val="0.13581063834910542"/>
          <c:w val="0.69698826913651502"/>
          <c:h val="0.6537715813046305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Sheet4!$C$38:$C$42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Sheet4!$D$38:$D$42</c:f>
              <c:numCache>
                <c:formatCode>###0</c:formatCode>
                <c:ptCount val="5"/>
                <c:pt idx="0">
                  <c:v>22</c:v>
                </c:pt>
                <c:pt idx="1">
                  <c:v>8</c:v>
                </c:pt>
                <c:pt idx="2">
                  <c:v>22</c:v>
                </c:pt>
                <c:pt idx="3">
                  <c:v>27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4-4B9C-B6E9-C2393FCD84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28967136"/>
        <c:axId val="1028972960"/>
      </c:barChart>
      <c:catAx>
        <c:axId val="1028967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Agreement/Disagreement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72960"/>
        <c:crosses val="autoZero"/>
        <c:auto val="1"/>
        <c:lblAlgn val="ctr"/>
        <c:lblOffset val="100"/>
        <c:noMultiLvlLbl val="0"/>
      </c:catAx>
      <c:valAx>
        <c:axId val="102897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3087423447069118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 of  having confidence to discuss SRH issues (STIs, HIV, condom use, pregnancy) with your parents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541502624671914"/>
          <c:y val="0.20248494511331189"/>
          <c:w val="0.69856645523476235"/>
          <c:h val="0.5284039744232758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Sheet4!$C$45:$C$49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Sheet4!$D$45:$D$49</c:f>
              <c:numCache>
                <c:formatCode>###0</c:formatCode>
                <c:ptCount val="5"/>
                <c:pt idx="0">
                  <c:v>23</c:v>
                </c:pt>
                <c:pt idx="1">
                  <c:v>13</c:v>
                </c:pt>
                <c:pt idx="2">
                  <c:v>3</c:v>
                </c:pt>
                <c:pt idx="3">
                  <c:v>19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D-454C-80B3-56FF696AF8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69651808"/>
        <c:axId val="569652224"/>
      </c:barChart>
      <c:catAx>
        <c:axId val="569651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18300925925925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52224"/>
        <c:crosses val="autoZero"/>
        <c:auto val="1"/>
        <c:lblAlgn val="ctr"/>
        <c:lblOffset val="100"/>
        <c:noMultiLvlLbl val="0"/>
      </c:catAx>
      <c:valAx>
        <c:axId val="56965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3087423447069118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5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of having access to hygiene products and services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20647419072614"/>
          <c:y val="0.16939814814814816"/>
          <c:w val="0.67557130358705164"/>
          <c:h val="0.6157717264508604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Sheet4!$C$52:$C$56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Sheet4!$D$52:$D$56</c:f>
              <c:numCache>
                <c:formatCode>###0</c:formatCode>
                <c:ptCount val="5"/>
                <c:pt idx="0">
                  <c:v>27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C-4004-B46E-AB74718CAA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10522656"/>
        <c:axId val="710525984"/>
      </c:barChart>
      <c:catAx>
        <c:axId val="710522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18652777777777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25984"/>
        <c:crosses val="autoZero"/>
        <c:auto val="1"/>
        <c:lblAlgn val="ctr"/>
        <c:lblOffset val="100"/>
        <c:noMultiLvlLbl val="0"/>
      </c:catAx>
      <c:valAx>
        <c:axId val="71052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2917979002624673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2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of having access to Comprehensive Sexuality Education (CSE) as part of your education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20647419072614"/>
          <c:y val="0.18245370370370367"/>
          <c:w val="0.67557130358705164"/>
          <c:h val="0.6119754301545640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Sheet4!$C$63:$C$67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Sheet4!$D$63:$D$67</c:f>
              <c:numCache>
                <c:formatCode>###0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11</c:v>
                </c:pt>
                <c:pt idx="3">
                  <c:v>19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3-44CF-B3C1-C4C0E61B5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21535472"/>
        <c:axId val="621540464"/>
      </c:barChart>
      <c:catAx>
        <c:axId val="621535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18300925925925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40464"/>
        <c:crosses val="autoZero"/>
        <c:auto val="1"/>
        <c:lblAlgn val="ctr"/>
        <c:lblOffset val="100"/>
        <c:noMultiLvlLbl val="0"/>
      </c:catAx>
      <c:valAx>
        <c:axId val="62154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1529090113735778"/>
              <c:y val="0.92034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3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on whether there is a shortage of SRHR supplies, equipment and commodities in places that provide SRHR services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060958005249342"/>
          <c:y val="0.21118073782443861"/>
          <c:w val="0.67616819772528436"/>
          <c:h val="0.5832483960338290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Sheet4!$C$70:$C$74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Sheet4!$D$70:$D$74</c:f>
              <c:numCache>
                <c:formatCode>###0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11</c:v>
                </c:pt>
                <c:pt idx="3">
                  <c:v>19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0-4516-98B4-8E098BBE76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21538384"/>
        <c:axId val="621545456"/>
      </c:barChart>
      <c:catAx>
        <c:axId val="621538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21118073782443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45456"/>
        <c:crosses val="autoZero"/>
        <c:auto val="1"/>
        <c:lblAlgn val="ctr"/>
        <c:lblOffset val="100"/>
        <c:noMultiLvlLbl val="0"/>
      </c:catAx>
      <c:valAx>
        <c:axId val="62154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38879790026246719"/>
              <c:y val="0.91210629921259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3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</a:t>
            </a:r>
            <a:r>
              <a:rPr lang="en-US" sz="1000" baseline="0"/>
              <a:t> on whether referral links between programs and SRHR service delivery points are strong</a:t>
            </a:r>
            <a:endParaRPr lang="en-US" sz="10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459536307961503"/>
          <c:y val="0.15930555555555553"/>
          <c:w val="0.67218241469816276"/>
          <c:h val="0.63512357830271216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Sheet4!$C$76:$C$80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Sheet4!$D$76:$D$80</c:f>
              <c:numCache>
                <c:formatCode>###0</c:formatCode>
                <c:ptCount val="5"/>
                <c:pt idx="0">
                  <c:v>12</c:v>
                </c:pt>
                <c:pt idx="1">
                  <c:v>5</c:v>
                </c:pt>
                <c:pt idx="2">
                  <c:v>13</c:v>
                </c:pt>
                <c:pt idx="3">
                  <c:v>19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A-4404-8F5D-1E4A2832D2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98133616"/>
        <c:axId val="498130704"/>
      </c:barChart>
      <c:catAx>
        <c:axId val="498133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7790901137357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30704"/>
        <c:crosses val="autoZero"/>
        <c:auto val="1"/>
        <c:lblAlgn val="ctr"/>
        <c:lblOffset val="100"/>
        <c:noMultiLvlLbl val="0"/>
      </c:catAx>
      <c:valAx>
        <c:axId val="49813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3975409011373578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3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on</a:t>
            </a:r>
            <a:r>
              <a:rPr lang="en-US" sz="1000" baseline="0"/>
              <a:t> </a:t>
            </a:r>
            <a:r>
              <a:rPr lang="en-US" sz="1000"/>
              <a:t>having access to radio/ social media broadcast on Adolescent and Youth health issues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459536307961503"/>
          <c:y val="0.16393518518518516"/>
          <c:w val="0.67218241469816276"/>
          <c:h val="0.630493948673082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Sheet4!$C$82:$C$86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Sheet4!$D$82:$D$86</c:f>
              <c:numCache>
                <c:formatCode>###0</c:formatCode>
                <c:ptCount val="5"/>
                <c:pt idx="0">
                  <c:v>30</c:v>
                </c:pt>
                <c:pt idx="1">
                  <c:v>19</c:v>
                </c:pt>
                <c:pt idx="2">
                  <c:v>13</c:v>
                </c:pt>
                <c:pt idx="3">
                  <c:v>16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F-4EE1-8015-2059EEAD61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98129456"/>
        <c:axId val="498128624"/>
      </c:barChart>
      <c:catAx>
        <c:axId val="4981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18300925925925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28624"/>
        <c:crosses val="autoZero"/>
        <c:auto val="1"/>
        <c:lblAlgn val="ctr"/>
        <c:lblOffset val="100"/>
        <c:noMultiLvlLbl val="0"/>
      </c:catAx>
      <c:valAx>
        <c:axId val="49812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38642979002624672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2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36482939632549E-2"/>
          <c:y val="3.1537582265186381E-2"/>
          <c:w val="0.90286351706036749"/>
          <c:h val="0.7776136961540198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Sheet1!$C$3:$C$7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Sheet1!$D$3:$D$7</c:f>
              <c:numCache>
                <c:formatCode>###0</c:formatCode>
                <c:ptCount val="5"/>
                <c:pt idx="0">
                  <c:v>18</c:v>
                </c:pt>
                <c:pt idx="1">
                  <c:v>31</c:v>
                </c:pt>
                <c:pt idx="2">
                  <c:v>11</c:v>
                </c:pt>
                <c:pt idx="3">
                  <c:v>15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6-4D76-992F-18D3E28A6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7311552"/>
        <c:axId val="917310720"/>
      </c:barChart>
      <c:catAx>
        <c:axId val="91731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10720"/>
        <c:crosses val="autoZero"/>
        <c:auto val="1"/>
        <c:lblAlgn val="ctr"/>
        <c:lblOffset val="100"/>
        <c:noMultiLvlLbl val="0"/>
      </c:catAx>
      <c:valAx>
        <c:axId val="917310720"/>
        <c:scaling>
          <c:orientation val="minMax"/>
        </c:scaling>
        <c:delete val="0"/>
        <c:axPos val="l"/>
        <c:numFmt formatCode="#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1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Sheet1!$C$10:$C$14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Sheet1!$D$10:$D$14</c:f>
              <c:numCache>
                <c:formatCode>###0</c:formatCode>
                <c:ptCount val="5"/>
                <c:pt idx="0">
                  <c:v>24</c:v>
                </c:pt>
                <c:pt idx="1">
                  <c:v>38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1-43EF-AB26-1671391B7C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18474736"/>
        <c:axId val="918480976"/>
      </c:barChart>
      <c:catAx>
        <c:axId val="9184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80976"/>
        <c:crosses val="autoZero"/>
        <c:auto val="1"/>
        <c:lblAlgn val="ctr"/>
        <c:lblOffset val="100"/>
        <c:noMultiLvlLbl val="0"/>
      </c:catAx>
      <c:valAx>
        <c:axId val="918480976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7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Sheet1!$C$16:$C$20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Sheet1!$D$16:$D$20</c:f>
              <c:numCache>
                <c:formatCode>###0</c:formatCode>
                <c:ptCount val="5"/>
                <c:pt idx="0">
                  <c:v>18</c:v>
                </c:pt>
                <c:pt idx="1">
                  <c:v>51</c:v>
                </c:pt>
                <c:pt idx="2">
                  <c:v>7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1-4E3A-8A25-BED988E478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8488464"/>
        <c:axId val="918494288"/>
      </c:barChart>
      <c:catAx>
        <c:axId val="91848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94288"/>
        <c:crosses val="autoZero"/>
        <c:auto val="1"/>
        <c:lblAlgn val="ctr"/>
        <c:lblOffset val="100"/>
        <c:noMultiLvlLbl val="0"/>
      </c:catAx>
      <c:valAx>
        <c:axId val="918494288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8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Sheet1!$C$24:$C$28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Sheet1!$D$24:$D$28</c:f>
              <c:numCache>
                <c:formatCode>###0</c:formatCode>
                <c:ptCount val="5"/>
                <c:pt idx="0">
                  <c:v>22</c:v>
                </c:pt>
                <c:pt idx="1">
                  <c:v>38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E-4298-848B-918461E50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8493456"/>
        <c:axId val="918474320"/>
      </c:barChart>
      <c:catAx>
        <c:axId val="9184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74320"/>
        <c:crosses val="autoZero"/>
        <c:auto val="1"/>
        <c:lblAlgn val="ctr"/>
        <c:lblOffset val="100"/>
        <c:noMultiLvlLbl val="0"/>
      </c:catAx>
      <c:valAx>
        <c:axId val="918474320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9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Sheet1!$C$31:$C$35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Sheet1!$D$31:$D$35</c:f>
              <c:numCache>
                <c:formatCode>###0</c:formatCode>
                <c:ptCount val="5"/>
                <c:pt idx="0">
                  <c:v>23</c:v>
                </c:pt>
                <c:pt idx="1">
                  <c:v>32</c:v>
                </c:pt>
                <c:pt idx="2">
                  <c:v>7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0-4D1A-9E68-933A4E506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5776832"/>
        <c:axId val="915783072"/>
      </c:barChart>
      <c:catAx>
        <c:axId val="91577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783072"/>
        <c:crosses val="autoZero"/>
        <c:auto val="1"/>
        <c:lblAlgn val="ctr"/>
        <c:lblOffset val="100"/>
        <c:noMultiLvlLbl val="0"/>
      </c:catAx>
      <c:valAx>
        <c:axId val="915783072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77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Sheet1!$C$39:$C$43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Sheet1!$D$39:$D$43</c:f>
              <c:numCache>
                <c:formatCode>###0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19</c:v>
                </c:pt>
                <c:pt idx="3">
                  <c:v>34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3-4201-A708-0ECC2A701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8472240"/>
        <c:axId val="918475984"/>
      </c:barChart>
      <c:catAx>
        <c:axId val="91847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75984"/>
        <c:crosses val="autoZero"/>
        <c:auto val="1"/>
        <c:lblAlgn val="ctr"/>
        <c:lblOffset val="100"/>
        <c:noMultiLvlLbl val="0"/>
      </c:catAx>
      <c:valAx>
        <c:axId val="918475984"/>
        <c:scaling>
          <c:orientation val="minMax"/>
        </c:scaling>
        <c:delete val="0"/>
        <c:axPos val="l"/>
        <c:numFmt formatCode="#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Sheet1!$C$46:$C$50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Sheet1!$D$46:$D$50</c:f>
              <c:numCache>
                <c:formatCode>###0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14</c:v>
                </c:pt>
                <c:pt idx="3">
                  <c:v>45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E-4452-9618-59E2C09B21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8499696"/>
        <c:axId val="757431360"/>
      </c:barChart>
      <c:catAx>
        <c:axId val="9184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31360"/>
        <c:crosses val="autoZero"/>
        <c:auto val="1"/>
        <c:lblAlgn val="ctr"/>
        <c:lblOffset val="100"/>
        <c:noMultiLvlLbl val="0"/>
      </c:catAx>
      <c:valAx>
        <c:axId val="757431360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9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Sheet1!$C$53:$C$57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Sheet1!$D$53:$D$57</c:f>
              <c:numCache>
                <c:formatCode>###0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17</c:v>
                </c:pt>
                <c:pt idx="3">
                  <c:v>38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2-404C-912D-9B81DC844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7652512"/>
        <c:axId val="967652928"/>
      </c:barChart>
      <c:catAx>
        <c:axId val="9676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52928"/>
        <c:crosses val="autoZero"/>
        <c:auto val="1"/>
        <c:lblAlgn val="ctr"/>
        <c:lblOffset val="100"/>
        <c:noMultiLvlLbl val="0"/>
      </c:catAx>
      <c:valAx>
        <c:axId val="967652928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5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Sheet1!$C$60:$C$64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Sheet1!$D$60:$D$64</c:f>
              <c:numCache>
                <c:formatCode>###0</c:formatCode>
                <c:ptCount val="5"/>
                <c:pt idx="0">
                  <c:v>33</c:v>
                </c:pt>
                <c:pt idx="1">
                  <c:v>31</c:v>
                </c:pt>
                <c:pt idx="2">
                  <c:v>6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A-4C92-A514-3080956358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8543760"/>
        <c:axId val="1048546672"/>
      </c:barChart>
      <c:catAx>
        <c:axId val="10485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546672"/>
        <c:crosses val="autoZero"/>
        <c:auto val="1"/>
        <c:lblAlgn val="ctr"/>
        <c:lblOffset val="100"/>
        <c:noMultiLvlLbl val="0"/>
      </c:catAx>
      <c:valAx>
        <c:axId val="1048546672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5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Sheet1!$C$70:$C$74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Sheet1!$D$70:$D$74</c:f>
              <c:numCache>
                <c:formatCode>###0</c:formatCode>
                <c:ptCount val="5"/>
                <c:pt idx="0">
                  <c:v>29</c:v>
                </c:pt>
                <c:pt idx="1">
                  <c:v>33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0-43C9-8BA3-E5550FBD01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8910752"/>
        <c:axId val="1038908256"/>
      </c:barChart>
      <c:catAx>
        <c:axId val="103891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08256"/>
        <c:crosses val="autoZero"/>
        <c:auto val="1"/>
        <c:lblAlgn val="ctr"/>
        <c:lblOffset val="100"/>
        <c:noMultiLvlLbl val="0"/>
      </c:catAx>
      <c:valAx>
        <c:axId val="1038908256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Sheet2!$D$4:$D$8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Sheet2!$E$4:$E$8</c:f>
              <c:numCache>
                <c:formatCode>###0</c:formatCode>
                <c:ptCount val="5"/>
                <c:pt idx="0">
                  <c:v>9</c:v>
                </c:pt>
                <c:pt idx="1">
                  <c:v>31</c:v>
                </c:pt>
                <c:pt idx="2">
                  <c:v>14</c:v>
                </c:pt>
                <c:pt idx="3">
                  <c:v>23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7-4F23-B294-47B129187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9603055"/>
        <c:axId val="1089593487"/>
      </c:barChart>
      <c:catAx>
        <c:axId val="1089603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93487"/>
        <c:crosses val="autoZero"/>
        <c:auto val="1"/>
        <c:lblAlgn val="ctr"/>
        <c:lblOffset val="100"/>
        <c:noMultiLvlLbl val="0"/>
      </c:catAx>
      <c:valAx>
        <c:axId val="1089593487"/>
        <c:scaling>
          <c:orientation val="minMax"/>
        </c:scaling>
        <c:delete val="0"/>
        <c:axPos val="l"/>
        <c:numFmt formatCode="#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0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Sheet2!$D$12:$D$16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Sheet2!$E$12:$E$16</c:f>
              <c:numCache>
                <c:formatCode>###0</c:formatCode>
                <c:ptCount val="5"/>
                <c:pt idx="0">
                  <c:v>21</c:v>
                </c:pt>
                <c:pt idx="1">
                  <c:v>47</c:v>
                </c:pt>
                <c:pt idx="2">
                  <c:v>3</c:v>
                </c:pt>
                <c:pt idx="3">
                  <c:v>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0-495B-89EC-D64583BF1E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4258351"/>
        <c:axId val="1084250031"/>
      </c:barChart>
      <c:catAx>
        <c:axId val="108425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50031"/>
        <c:crosses val="autoZero"/>
        <c:auto val="1"/>
        <c:lblAlgn val="ctr"/>
        <c:lblOffset val="100"/>
        <c:noMultiLvlLbl val="0"/>
      </c:catAx>
      <c:valAx>
        <c:axId val="1084250031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5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Sheet2!$D$18:$D$22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Sheet2!$E$18:$E$22</c:f>
              <c:numCache>
                <c:formatCode>###0</c:formatCode>
                <c:ptCount val="5"/>
                <c:pt idx="0">
                  <c:v>13</c:v>
                </c:pt>
                <c:pt idx="1">
                  <c:v>41</c:v>
                </c:pt>
                <c:pt idx="2">
                  <c:v>4</c:v>
                </c:pt>
                <c:pt idx="3">
                  <c:v>3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B-4242-97B7-F80CE067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4260847"/>
        <c:axId val="1084268751"/>
      </c:barChart>
      <c:catAx>
        <c:axId val="108426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68751"/>
        <c:crosses val="autoZero"/>
        <c:auto val="1"/>
        <c:lblAlgn val="ctr"/>
        <c:lblOffset val="100"/>
        <c:noMultiLvlLbl val="0"/>
      </c:catAx>
      <c:valAx>
        <c:axId val="1084268751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6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Sheet2!$D$29:$D$33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Sheet2!$E$29:$E$33</c:f>
              <c:numCache>
                <c:formatCode>###0</c:formatCode>
                <c:ptCount val="5"/>
                <c:pt idx="0">
                  <c:v>15</c:v>
                </c:pt>
                <c:pt idx="1">
                  <c:v>42</c:v>
                </c:pt>
                <c:pt idx="2">
                  <c:v>8</c:v>
                </c:pt>
                <c:pt idx="3">
                  <c:v>6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1-4020-8020-89C53B446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4271247"/>
        <c:axId val="1084272495"/>
      </c:barChart>
      <c:catAx>
        <c:axId val="108427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72495"/>
        <c:crosses val="autoZero"/>
        <c:auto val="1"/>
        <c:lblAlgn val="ctr"/>
        <c:lblOffset val="100"/>
        <c:noMultiLvlLbl val="0"/>
      </c:catAx>
      <c:valAx>
        <c:axId val="1084272495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7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Sheet2!$D$36:$D$40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Sheet2!$E$36:$E$40</c:f>
              <c:numCache>
                <c:formatCode>###0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5</c:v>
                </c:pt>
                <c:pt idx="3">
                  <c:v>11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1-4692-94F1-1B9C5A11FC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4275407"/>
        <c:axId val="1084270831"/>
      </c:barChart>
      <c:catAx>
        <c:axId val="108427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70831"/>
        <c:crosses val="autoZero"/>
        <c:auto val="1"/>
        <c:lblAlgn val="ctr"/>
        <c:lblOffset val="100"/>
        <c:noMultiLvlLbl val="0"/>
      </c:catAx>
      <c:valAx>
        <c:axId val="1084270831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7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Sheet2!$D$42:$D$46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Sheet2!$E$42:$E$46</c:f>
              <c:numCache>
                <c:formatCode>###0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14</c:v>
                </c:pt>
                <c:pt idx="3">
                  <c:v>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F-425E-86CF-99E9942ED1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9601807"/>
        <c:axId val="1089592655"/>
      </c:barChart>
      <c:catAx>
        <c:axId val="108960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92655"/>
        <c:crosses val="autoZero"/>
        <c:auto val="1"/>
        <c:lblAlgn val="ctr"/>
        <c:lblOffset val="100"/>
        <c:noMultiLvlLbl val="0"/>
      </c:catAx>
      <c:valAx>
        <c:axId val="1089592655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0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Sheet2!$D$49:$D$53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Sheet2!$E$49:$E$53</c:f>
              <c:numCache>
                <c:formatCode>###0</c:formatCode>
                <c:ptCount val="5"/>
                <c:pt idx="0">
                  <c:v>9</c:v>
                </c:pt>
                <c:pt idx="1">
                  <c:v>18</c:v>
                </c:pt>
                <c:pt idx="2">
                  <c:v>7</c:v>
                </c:pt>
                <c:pt idx="3">
                  <c:v>28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6-43D1-BF3D-49747BDE06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5855311"/>
        <c:axId val="1135850319"/>
      </c:barChart>
      <c:catAx>
        <c:axId val="11358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50319"/>
        <c:crosses val="autoZero"/>
        <c:auto val="1"/>
        <c:lblAlgn val="ctr"/>
        <c:lblOffset val="100"/>
        <c:noMultiLvlLbl val="0"/>
      </c:catAx>
      <c:valAx>
        <c:axId val="1135850319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5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Sheet2!$D$59:$D$63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Sheet2!$E$59:$E$63</c:f>
              <c:numCache>
                <c:formatCode>###0</c:formatCode>
                <c:ptCount val="5"/>
                <c:pt idx="0">
                  <c:v>12</c:v>
                </c:pt>
                <c:pt idx="1">
                  <c:v>54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4-4EB2-B661-B3B7CAB7D0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5847823"/>
        <c:axId val="1135840335"/>
      </c:barChart>
      <c:catAx>
        <c:axId val="113584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40335"/>
        <c:crosses val="autoZero"/>
        <c:auto val="1"/>
        <c:lblAlgn val="ctr"/>
        <c:lblOffset val="100"/>
        <c:noMultiLvlLbl val="0"/>
      </c:catAx>
      <c:valAx>
        <c:axId val="1135840335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4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Sheet2!$D$4:$D$8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Sheet2!$E$4:$E$8</c:f>
              <c:numCache>
                <c:formatCode>###0</c:formatCode>
                <c:ptCount val="5"/>
                <c:pt idx="0">
                  <c:v>9</c:v>
                </c:pt>
                <c:pt idx="1">
                  <c:v>31</c:v>
                </c:pt>
                <c:pt idx="2">
                  <c:v>14</c:v>
                </c:pt>
                <c:pt idx="3">
                  <c:v>23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6-4EAB-B7E3-3B744E4B2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9603055"/>
        <c:axId val="1089593487"/>
      </c:barChart>
      <c:catAx>
        <c:axId val="1089603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93487"/>
        <c:crosses val="autoZero"/>
        <c:auto val="1"/>
        <c:lblAlgn val="ctr"/>
        <c:lblOffset val="100"/>
        <c:noMultiLvlLbl val="0"/>
      </c:catAx>
      <c:valAx>
        <c:axId val="1089593487"/>
        <c:scaling>
          <c:orientation val="minMax"/>
        </c:scaling>
        <c:delete val="0"/>
        <c:axPos val="l"/>
        <c:numFmt formatCode="#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0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Sheet2!$D$12:$D$16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Sheet2!$E$12:$E$16</c:f>
              <c:numCache>
                <c:formatCode>###0</c:formatCode>
                <c:ptCount val="5"/>
                <c:pt idx="0">
                  <c:v>21</c:v>
                </c:pt>
                <c:pt idx="1">
                  <c:v>47</c:v>
                </c:pt>
                <c:pt idx="2">
                  <c:v>3</c:v>
                </c:pt>
                <c:pt idx="3">
                  <c:v>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4-4E01-BCC4-E690CF3C10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4258351"/>
        <c:axId val="1084250031"/>
      </c:barChart>
      <c:catAx>
        <c:axId val="108425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50031"/>
        <c:crosses val="autoZero"/>
        <c:auto val="1"/>
        <c:lblAlgn val="ctr"/>
        <c:lblOffset val="100"/>
        <c:noMultiLvlLbl val="0"/>
      </c:catAx>
      <c:valAx>
        <c:axId val="1084250031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5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Sheet2!$D$18:$D$22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Sheet2!$E$18:$E$22</c:f>
              <c:numCache>
                <c:formatCode>###0</c:formatCode>
                <c:ptCount val="5"/>
                <c:pt idx="0">
                  <c:v>13</c:v>
                </c:pt>
                <c:pt idx="1">
                  <c:v>41</c:v>
                </c:pt>
                <c:pt idx="2">
                  <c:v>4</c:v>
                </c:pt>
                <c:pt idx="3">
                  <c:v>3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5-4056-960C-3D3942B46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4260847"/>
        <c:axId val="1084268751"/>
      </c:barChart>
      <c:catAx>
        <c:axId val="108426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68751"/>
        <c:crosses val="autoZero"/>
        <c:auto val="1"/>
        <c:lblAlgn val="ctr"/>
        <c:lblOffset val="100"/>
        <c:noMultiLvlLbl val="0"/>
      </c:catAx>
      <c:valAx>
        <c:axId val="1084268751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6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Sheet2!$D$29:$D$33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Sheet2!$E$29:$E$33</c:f>
              <c:numCache>
                <c:formatCode>###0</c:formatCode>
                <c:ptCount val="5"/>
                <c:pt idx="0">
                  <c:v>15</c:v>
                </c:pt>
                <c:pt idx="1">
                  <c:v>42</c:v>
                </c:pt>
                <c:pt idx="2">
                  <c:v>8</c:v>
                </c:pt>
                <c:pt idx="3">
                  <c:v>6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1-4C9D-A0E0-C875F2A91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4271247"/>
        <c:axId val="1084272495"/>
      </c:barChart>
      <c:catAx>
        <c:axId val="108427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72495"/>
        <c:crosses val="autoZero"/>
        <c:auto val="1"/>
        <c:lblAlgn val="ctr"/>
        <c:lblOffset val="100"/>
        <c:noMultiLvlLbl val="0"/>
      </c:catAx>
      <c:valAx>
        <c:axId val="1084272495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7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Sheet2!$D$36:$D$40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Sheet2!$E$36:$E$40</c:f>
              <c:numCache>
                <c:formatCode>###0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5</c:v>
                </c:pt>
                <c:pt idx="3">
                  <c:v>11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4-4A9F-B597-C306349666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4275407"/>
        <c:axId val="1084270831"/>
      </c:barChart>
      <c:catAx>
        <c:axId val="108427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70831"/>
        <c:crosses val="autoZero"/>
        <c:auto val="1"/>
        <c:lblAlgn val="ctr"/>
        <c:lblOffset val="100"/>
        <c:noMultiLvlLbl val="0"/>
      </c:catAx>
      <c:valAx>
        <c:axId val="1084270831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7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Sheet2!$D$42:$D$46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Sheet2!$E$42:$E$46</c:f>
              <c:numCache>
                <c:formatCode>###0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14</c:v>
                </c:pt>
                <c:pt idx="3">
                  <c:v>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D-4692-8135-8F14A0F350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9601807"/>
        <c:axId val="1089592655"/>
      </c:barChart>
      <c:catAx>
        <c:axId val="108960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92655"/>
        <c:crosses val="autoZero"/>
        <c:auto val="1"/>
        <c:lblAlgn val="ctr"/>
        <c:lblOffset val="100"/>
        <c:noMultiLvlLbl val="0"/>
      </c:catAx>
      <c:valAx>
        <c:axId val="1089592655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0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Sheet2!$D$49:$D$53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Sheet2!$E$49:$E$53</c:f>
              <c:numCache>
                <c:formatCode>###0</c:formatCode>
                <c:ptCount val="5"/>
                <c:pt idx="0">
                  <c:v>9</c:v>
                </c:pt>
                <c:pt idx="1">
                  <c:v>18</c:v>
                </c:pt>
                <c:pt idx="2">
                  <c:v>7</c:v>
                </c:pt>
                <c:pt idx="3">
                  <c:v>28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2-4DA0-86E5-0BCCDE9D7F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5855311"/>
        <c:axId val="1135850319"/>
      </c:barChart>
      <c:catAx>
        <c:axId val="11358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50319"/>
        <c:crosses val="autoZero"/>
        <c:auto val="1"/>
        <c:lblAlgn val="ctr"/>
        <c:lblOffset val="100"/>
        <c:noMultiLvlLbl val="0"/>
      </c:catAx>
      <c:valAx>
        <c:axId val="1135850319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5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Sheet2!$D$59:$D$63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Sheet2!$E$59:$E$63</c:f>
              <c:numCache>
                <c:formatCode>###0</c:formatCode>
                <c:ptCount val="5"/>
                <c:pt idx="0">
                  <c:v>12</c:v>
                </c:pt>
                <c:pt idx="1">
                  <c:v>54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6-480A-BC18-11FAE89ED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847823"/>
        <c:axId val="1135840335"/>
      </c:barChart>
      <c:catAx>
        <c:axId val="113584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40335"/>
        <c:crosses val="autoZero"/>
        <c:auto val="1"/>
        <c:lblAlgn val="ctr"/>
        <c:lblOffset val="100"/>
        <c:noMultiLvlLbl val="0"/>
      </c:catAx>
      <c:valAx>
        <c:axId val="1135840335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4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36482939632549E-2"/>
          <c:y val="7.407407407407407E-2"/>
          <c:w val="0.90286351706036749"/>
          <c:h val="0.72593394575678039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Sheet1!$C$3:$C$7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Sheet1!$D$3:$D$7</c:f>
              <c:numCache>
                <c:formatCode>###0</c:formatCode>
                <c:ptCount val="5"/>
                <c:pt idx="0">
                  <c:v>18</c:v>
                </c:pt>
                <c:pt idx="1">
                  <c:v>31</c:v>
                </c:pt>
                <c:pt idx="2">
                  <c:v>11</c:v>
                </c:pt>
                <c:pt idx="3">
                  <c:v>15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1-4B65-9894-38C294CAB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7311552"/>
        <c:axId val="917310720"/>
      </c:barChart>
      <c:catAx>
        <c:axId val="91731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10720"/>
        <c:crosses val="autoZero"/>
        <c:auto val="1"/>
        <c:lblAlgn val="ctr"/>
        <c:lblOffset val="100"/>
        <c:noMultiLvlLbl val="0"/>
      </c:catAx>
      <c:valAx>
        <c:axId val="917310720"/>
        <c:scaling>
          <c:orientation val="minMax"/>
        </c:scaling>
        <c:delete val="0"/>
        <c:axPos val="l"/>
        <c:numFmt formatCode="#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1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Sheet1!$C$10:$C$14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Sheet1!$D$10:$D$14</c:f>
              <c:numCache>
                <c:formatCode>###0</c:formatCode>
                <c:ptCount val="5"/>
                <c:pt idx="0">
                  <c:v>24</c:v>
                </c:pt>
                <c:pt idx="1">
                  <c:v>38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6-40EB-A04B-72FE9B150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8474736"/>
        <c:axId val="918480976"/>
      </c:barChart>
      <c:catAx>
        <c:axId val="9184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80976"/>
        <c:crosses val="autoZero"/>
        <c:auto val="1"/>
        <c:lblAlgn val="ctr"/>
        <c:lblOffset val="100"/>
        <c:noMultiLvlLbl val="0"/>
      </c:catAx>
      <c:valAx>
        <c:axId val="918480976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7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Sheet1!$C$16:$C$20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Sheet1!$D$16:$D$20</c:f>
              <c:numCache>
                <c:formatCode>###0</c:formatCode>
                <c:ptCount val="5"/>
                <c:pt idx="0">
                  <c:v>18</c:v>
                </c:pt>
                <c:pt idx="1">
                  <c:v>51</c:v>
                </c:pt>
                <c:pt idx="2">
                  <c:v>7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3-44F4-A761-8A9305BA0B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8488464"/>
        <c:axId val="918494288"/>
      </c:barChart>
      <c:catAx>
        <c:axId val="91848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94288"/>
        <c:crosses val="autoZero"/>
        <c:auto val="1"/>
        <c:lblAlgn val="ctr"/>
        <c:lblOffset val="100"/>
        <c:noMultiLvlLbl val="0"/>
      </c:catAx>
      <c:valAx>
        <c:axId val="918494288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8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Sheet1!$C$24:$C$28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Sheet1!$D$24:$D$28</c:f>
              <c:numCache>
                <c:formatCode>###0</c:formatCode>
                <c:ptCount val="5"/>
                <c:pt idx="0">
                  <c:v>22</c:v>
                </c:pt>
                <c:pt idx="1">
                  <c:v>38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2-4101-B0E7-1DC4119B11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8493456"/>
        <c:axId val="918474320"/>
      </c:barChart>
      <c:catAx>
        <c:axId val="9184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74320"/>
        <c:crosses val="autoZero"/>
        <c:auto val="1"/>
        <c:lblAlgn val="ctr"/>
        <c:lblOffset val="100"/>
        <c:noMultiLvlLbl val="0"/>
      </c:catAx>
      <c:valAx>
        <c:axId val="918474320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9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148821603485128E-2"/>
          <c:y val="8.7986463620981392E-2"/>
          <c:w val="0.90386492410098218"/>
          <c:h val="0.7685396432044979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Sheet1!$C$31:$C$35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Sheet1!$D$31:$D$35</c:f>
              <c:numCache>
                <c:formatCode>###0</c:formatCode>
                <c:ptCount val="5"/>
                <c:pt idx="0">
                  <c:v>23</c:v>
                </c:pt>
                <c:pt idx="1">
                  <c:v>32</c:v>
                </c:pt>
                <c:pt idx="2">
                  <c:v>7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0-4D88-96C1-5051DDF21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5776832"/>
        <c:axId val="915783072"/>
      </c:barChart>
      <c:catAx>
        <c:axId val="91577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783072"/>
        <c:crosses val="autoZero"/>
        <c:auto val="1"/>
        <c:lblAlgn val="ctr"/>
        <c:lblOffset val="100"/>
        <c:noMultiLvlLbl val="0"/>
      </c:catAx>
      <c:valAx>
        <c:axId val="915783072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77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Sheet1!$C$39:$C$43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Sheet1!$D$39:$D$43</c:f>
              <c:numCache>
                <c:formatCode>###0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19</c:v>
                </c:pt>
                <c:pt idx="3">
                  <c:v>34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3-4919-A38C-7DB053E1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8472240"/>
        <c:axId val="918475984"/>
      </c:barChart>
      <c:catAx>
        <c:axId val="91847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75984"/>
        <c:crosses val="autoZero"/>
        <c:auto val="1"/>
        <c:lblAlgn val="ctr"/>
        <c:lblOffset val="100"/>
        <c:noMultiLvlLbl val="0"/>
      </c:catAx>
      <c:valAx>
        <c:axId val="918475984"/>
        <c:scaling>
          <c:orientation val="minMax"/>
        </c:scaling>
        <c:delete val="0"/>
        <c:axPos val="l"/>
        <c:numFmt formatCode="#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54168886783889E-2"/>
          <c:y val="9.3158660844250368E-2"/>
          <c:w val="0.91235806050559465"/>
          <c:h val="0.80088344852089999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Sheet1!$C$46:$C$50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Sheet1!$D$46:$D$50</c:f>
              <c:numCache>
                <c:formatCode>###0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14</c:v>
                </c:pt>
                <c:pt idx="3">
                  <c:v>45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4-4106-959E-FEC1683562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8499696"/>
        <c:axId val="757431360"/>
      </c:barChart>
      <c:catAx>
        <c:axId val="9184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31360"/>
        <c:crosses val="autoZero"/>
        <c:auto val="1"/>
        <c:lblAlgn val="ctr"/>
        <c:lblOffset val="100"/>
        <c:noMultiLvlLbl val="0"/>
      </c:catAx>
      <c:valAx>
        <c:axId val="757431360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9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Sheet1!$C$53:$C$57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Sheet1!$D$53:$D$57</c:f>
              <c:numCache>
                <c:formatCode>###0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17</c:v>
                </c:pt>
                <c:pt idx="3">
                  <c:v>38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8-4C16-9D2F-28E09CCC31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7652512"/>
        <c:axId val="967652928"/>
      </c:barChart>
      <c:catAx>
        <c:axId val="9676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52928"/>
        <c:crosses val="autoZero"/>
        <c:auto val="1"/>
        <c:lblAlgn val="ctr"/>
        <c:lblOffset val="100"/>
        <c:noMultiLvlLbl val="0"/>
      </c:catAx>
      <c:valAx>
        <c:axId val="967652928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5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Sheet1!$C$60:$C$64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Sheet1!$D$60:$D$64</c:f>
              <c:numCache>
                <c:formatCode>###0</c:formatCode>
                <c:ptCount val="5"/>
                <c:pt idx="0">
                  <c:v>33</c:v>
                </c:pt>
                <c:pt idx="1">
                  <c:v>31</c:v>
                </c:pt>
                <c:pt idx="2">
                  <c:v>6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C-4534-9031-D22433638C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8543760"/>
        <c:axId val="1048546672"/>
      </c:barChart>
      <c:catAx>
        <c:axId val="10485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546672"/>
        <c:crosses val="autoZero"/>
        <c:auto val="1"/>
        <c:lblAlgn val="ctr"/>
        <c:lblOffset val="100"/>
        <c:noMultiLvlLbl val="0"/>
      </c:catAx>
      <c:valAx>
        <c:axId val="1048546672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5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Sheet1!$C$70:$C$74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Sheet1!$D$70:$D$74</c:f>
              <c:numCache>
                <c:formatCode>###0</c:formatCode>
                <c:ptCount val="5"/>
                <c:pt idx="0">
                  <c:v>29</c:v>
                </c:pt>
                <c:pt idx="1">
                  <c:v>33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4-4936-B90B-63E7082757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8910752"/>
        <c:axId val="1038908256"/>
      </c:barChart>
      <c:catAx>
        <c:axId val="103891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08256"/>
        <c:crosses val="autoZero"/>
        <c:auto val="1"/>
        <c:lblAlgn val="ctr"/>
        <c:lblOffset val="100"/>
        <c:noMultiLvlLbl val="0"/>
      </c:catAx>
      <c:valAx>
        <c:axId val="1038908256"/>
        <c:scaling>
          <c:orientation val="minMax"/>
        </c:scaling>
        <c:delete val="0"/>
        <c:axPos val="l"/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Extent</a:t>
            </a:r>
            <a:r>
              <a:rPr lang="en-US" sz="1100" baseline="0"/>
              <a:t> of Agreement/Disagrement on Seeking SRHR Services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307635229806801"/>
          <c:y val="0.10249127115991233"/>
          <c:w val="0.72572565271446332"/>
          <c:h val="0.772187146331479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Sheet4!$D$3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Sheet4!$C$4:$C$9</c:f>
              <c:strCache>
                <c:ptCount val="6"/>
                <c:pt idx="1">
                  <c:v>agree</c:v>
                </c:pt>
                <c:pt idx="2">
                  <c:v>agree_strongly</c:v>
                </c:pt>
                <c:pt idx="3">
                  <c:v>disagree</c:v>
                </c:pt>
                <c:pt idx="4">
                  <c:v>disagree_strongly</c:v>
                </c:pt>
                <c:pt idx="5">
                  <c:v>neutral</c:v>
                </c:pt>
              </c:strCache>
            </c:strRef>
          </c:cat>
          <c:val>
            <c:numRef>
              <c:f>Sheet4!$D$4:$D$9</c:f>
              <c:numCache>
                <c:formatCode>###0</c:formatCode>
                <c:ptCount val="6"/>
                <c:pt idx="1">
                  <c:v>29</c:v>
                </c:pt>
                <c:pt idx="2">
                  <c:v>11</c:v>
                </c:pt>
                <c:pt idx="3">
                  <c:v>11</c:v>
                </c:pt>
                <c:pt idx="4">
                  <c:v>30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F-453A-9187-C3FF907922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15678912"/>
        <c:axId val="815682240"/>
      </c:barChart>
      <c:catAx>
        <c:axId val="815678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Exxtent of Agreement/Disagrement</a:t>
                </a:r>
              </a:p>
            </c:rich>
          </c:tx>
          <c:layout>
            <c:manualLayout>
              <c:xMode val="edge"/>
              <c:yMode val="edge"/>
              <c:x val="3.2080200501253132E-2"/>
              <c:y val="0.20559175201139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82240"/>
        <c:crosses val="autoZero"/>
        <c:auto val="1"/>
        <c:lblAlgn val="ctr"/>
        <c:lblOffset val="100"/>
        <c:noMultiLvlLbl val="0"/>
      </c:catAx>
      <c:valAx>
        <c:axId val="81568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7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on knowing places or facilities that provide youth-friendly SRHRH services for youth and adolescent refugees</a:t>
            </a:r>
          </a:p>
        </c:rich>
      </c:tx>
      <c:layout>
        <c:manualLayout>
          <c:xMode val="edge"/>
          <c:yMode val="edge"/>
          <c:x val="0.117485597687070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61602465252368"/>
          <c:y val="0.21129629629629629"/>
          <c:w val="0.6854910174964074"/>
          <c:h val="0.58878098571011961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Sheet4!$C$12:$C$16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Sheet4!$D$12:$D$16</c:f>
              <c:numCache>
                <c:formatCode>###0</c:formatCode>
                <c:ptCount val="5"/>
                <c:pt idx="0">
                  <c:v>32</c:v>
                </c:pt>
                <c:pt idx="1">
                  <c:v>13</c:v>
                </c:pt>
                <c:pt idx="2">
                  <c:v>13</c:v>
                </c:pt>
                <c:pt idx="3">
                  <c:v>22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9-4B1C-A8B5-4000B5AC9C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28975456"/>
        <c:axId val="1028960896"/>
      </c:barChart>
      <c:catAx>
        <c:axId val="102897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</a:t>
                </a:r>
                <a:r>
                  <a:rPr lang="en-US" sz="1000" b="1" baseline="0"/>
                  <a:t> of Agreement/Disagreement</a:t>
                </a:r>
                <a:endParaRPr lang="en-US" sz="1000" b="1"/>
              </a:p>
            </c:rich>
          </c:tx>
          <c:layout>
            <c:manualLayout>
              <c:xMode val="edge"/>
              <c:yMode val="edge"/>
              <c:x val="1.0152997310763478E-2"/>
              <c:y val="0.1876390560350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60896"/>
        <c:crosses val="autoZero"/>
        <c:auto val="1"/>
        <c:lblAlgn val="ctr"/>
        <c:lblOffset val="100"/>
        <c:noMultiLvlLbl val="0"/>
      </c:catAx>
      <c:valAx>
        <c:axId val="102896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4248854944648058"/>
              <c:y val="0.88895815106445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7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Extent of Agreement/Disagrement on knowing whether Providers at facilities/ organisations providing SRHRH services exhibit are positive attitude and competence to handle youth and adolescent SRH needs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991428286654039"/>
          <c:y val="0.21689986282578874"/>
          <c:w val="0.67363604865847471"/>
          <c:h val="0.5394605921173433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Sheet4!$C$18:$C$22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Sheet4!$D$18:$D$22</c:f>
              <c:numCache>
                <c:formatCode>###0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10</c:v>
                </c:pt>
                <c:pt idx="3">
                  <c:v>20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0-47E3-8DBF-9BC4E12A83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29678336"/>
        <c:axId val="929684160"/>
      </c:barChart>
      <c:catAx>
        <c:axId val="929678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4466546112115732E-2"/>
              <c:y val="0.15105624142661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684160"/>
        <c:crosses val="autoZero"/>
        <c:auto val="1"/>
        <c:lblAlgn val="ctr"/>
        <c:lblOffset val="100"/>
        <c:noMultiLvlLbl val="0"/>
      </c:catAx>
      <c:valAx>
        <c:axId val="92968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6529090113735783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67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Extent of Agreement/Disagreement of</a:t>
            </a:r>
            <a:r>
              <a:rPr lang="en-US" sz="1000" b="1" baseline="0"/>
              <a:t> having access to counselling services on sexual and reproductive health problems</a:t>
            </a:r>
            <a:endParaRPr lang="en-US" sz="1000" b="1"/>
          </a:p>
        </c:rich>
      </c:tx>
      <c:layout>
        <c:manualLayout>
          <c:xMode val="edge"/>
          <c:yMode val="edge"/>
          <c:x val="0.10603988209733889"/>
          <c:y val="2.391629297458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129483814524"/>
          <c:y val="0.1412616652085156"/>
          <c:w val="0.83855314960629923"/>
          <c:h val="0.484453557888597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Sheet4!$C$27:$C$31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Sheet4!$D$27:$D$31</c:f>
              <c:numCache>
                <c:formatCode>###0</c:formatCode>
                <c:ptCount val="5"/>
                <c:pt idx="0">
                  <c:v>25</c:v>
                </c:pt>
                <c:pt idx="1">
                  <c:v>11</c:v>
                </c:pt>
                <c:pt idx="2">
                  <c:v>13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D-4050-93F1-384CAA3228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5670592"/>
        <c:axId val="815678080"/>
      </c:barChart>
      <c:catAx>
        <c:axId val="81567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3186679790026239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78080"/>
        <c:crosses val="autoZero"/>
        <c:auto val="1"/>
        <c:lblAlgn val="ctr"/>
        <c:lblOffset val="100"/>
        <c:noMultiLvlLbl val="0"/>
      </c:catAx>
      <c:valAx>
        <c:axId val="815678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17171296296296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7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>
                <a:effectLst/>
              </a:rPr>
              <a:t>Extent of Agreement/Disagreement on being trained on SRHR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80463371397944"/>
          <c:y val="0.13581063834910542"/>
          <c:w val="0.69698826913651502"/>
          <c:h val="0.6537715813046305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Sheet4!$C$38:$C$42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Sheet4!$D$38:$D$42</c:f>
              <c:numCache>
                <c:formatCode>###0</c:formatCode>
                <c:ptCount val="5"/>
                <c:pt idx="0">
                  <c:v>22</c:v>
                </c:pt>
                <c:pt idx="1">
                  <c:v>8</c:v>
                </c:pt>
                <c:pt idx="2">
                  <c:v>22</c:v>
                </c:pt>
                <c:pt idx="3">
                  <c:v>27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B-4DDD-9C52-3E33916CE7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28967136"/>
        <c:axId val="1028972960"/>
      </c:barChart>
      <c:catAx>
        <c:axId val="1028967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Agreement/Disagreement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72960"/>
        <c:crosses val="autoZero"/>
        <c:auto val="1"/>
        <c:lblAlgn val="ctr"/>
        <c:lblOffset val="100"/>
        <c:noMultiLvlLbl val="0"/>
      </c:catAx>
      <c:valAx>
        <c:axId val="102897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3087423447069118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 of  having confidence to discuss SRH issues (STIs, HIV, condom use, pregnancy) with your parents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Sheet4!$C$45:$C$49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Sheet4!$D$45:$D$49</c:f>
              <c:numCache>
                <c:formatCode>###0</c:formatCode>
                <c:ptCount val="5"/>
                <c:pt idx="0">
                  <c:v>23</c:v>
                </c:pt>
                <c:pt idx="1">
                  <c:v>13</c:v>
                </c:pt>
                <c:pt idx="2">
                  <c:v>3</c:v>
                </c:pt>
                <c:pt idx="3">
                  <c:v>19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5-42B8-A8DA-6B2CA58BE6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69651808"/>
        <c:axId val="569652224"/>
      </c:barChart>
      <c:catAx>
        <c:axId val="569651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18300925925925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52224"/>
        <c:crosses val="autoZero"/>
        <c:auto val="1"/>
        <c:lblAlgn val="ctr"/>
        <c:lblOffset val="100"/>
        <c:noMultiLvlLbl val="0"/>
      </c:catAx>
      <c:valAx>
        <c:axId val="56965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3087423447069118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5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of having access to hygiene products and services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20647419072614"/>
          <c:y val="0.16939814814814816"/>
          <c:w val="0.67557130358705164"/>
          <c:h val="0.6157717264508604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Sheet4!$C$52:$C$56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Sheet4!$D$52:$D$56</c:f>
              <c:numCache>
                <c:formatCode>###0</c:formatCode>
                <c:ptCount val="5"/>
                <c:pt idx="0">
                  <c:v>27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B-45BA-8874-CA35DB63DB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10522656"/>
        <c:axId val="710525984"/>
      </c:barChart>
      <c:catAx>
        <c:axId val="710522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18652777777777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25984"/>
        <c:crosses val="autoZero"/>
        <c:auto val="1"/>
        <c:lblAlgn val="ctr"/>
        <c:lblOffset val="100"/>
        <c:noMultiLvlLbl val="0"/>
      </c:catAx>
      <c:valAx>
        <c:axId val="71052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2917979002624673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2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of having access to Comprehensive Sexuality Education (CSE) as part of your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20647419072614"/>
          <c:y val="0.18245370370370367"/>
          <c:w val="0.67557130358705164"/>
          <c:h val="0.6119754301545640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Sheet4!$C$63:$C$67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Sheet4!$D$63:$D$67</c:f>
              <c:numCache>
                <c:formatCode>###0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11</c:v>
                </c:pt>
                <c:pt idx="3">
                  <c:v>19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E-4DE9-A1D5-102B0C9189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21535472"/>
        <c:axId val="621540464"/>
      </c:barChart>
      <c:catAx>
        <c:axId val="621535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18300925925925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40464"/>
        <c:crosses val="autoZero"/>
        <c:auto val="1"/>
        <c:lblAlgn val="ctr"/>
        <c:lblOffset val="100"/>
        <c:noMultiLvlLbl val="0"/>
      </c:catAx>
      <c:valAx>
        <c:axId val="62154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41529090113735778"/>
              <c:y val="0.92034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3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on whether there is a shortage of SRHR supplies, equipment and commodities in places that provide SRHR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060958005249342"/>
          <c:y val="0.21118073782443861"/>
          <c:w val="0.67616819772528436"/>
          <c:h val="0.5832483960338290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Sheet4!$C$70:$C$74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Sheet4!$D$70:$D$74</c:f>
              <c:numCache>
                <c:formatCode>###0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11</c:v>
                </c:pt>
                <c:pt idx="3">
                  <c:v>19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5-4A53-8179-BE07FAD945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21538384"/>
        <c:axId val="621545456"/>
      </c:barChart>
      <c:catAx>
        <c:axId val="621538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21118073782443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45456"/>
        <c:crosses val="autoZero"/>
        <c:auto val="1"/>
        <c:lblAlgn val="ctr"/>
        <c:lblOffset val="100"/>
        <c:noMultiLvlLbl val="0"/>
      </c:catAx>
      <c:valAx>
        <c:axId val="62154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38879790026246719"/>
              <c:y val="0.91210629921259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3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</a:t>
            </a:r>
            <a:r>
              <a:rPr lang="en-US" sz="1000" baseline="0"/>
              <a:t> on whether referral links between programs and SRHR service delivery points are strong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459536307961503"/>
          <c:y val="0.15930555555555553"/>
          <c:w val="0.67218241469816276"/>
          <c:h val="0.63512357830271216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Sheet4!$C$76:$C$80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Sheet4!$D$76:$D$80</c:f>
              <c:numCache>
                <c:formatCode>###0</c:formatCode>
                <c:ptCount val="5"/>
                <c:pt idx="0">
                  <c:v>12</c:v>
                </c:pt>
                <c:pt idx="1">
                  <c:v>5</c:v>
                </c:pt>
                <c:pt idx="2">
                  <c:v>13</c:v>
                </c:pt>
                <c:pt idx="3">
                  <c:v>19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C-489C-99FF-5C9DB27601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98133616"/>
        <c:axId val="498130704"/>
      </c:barChart>
      <c:catAx>
        <c:axId val="498133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7790901137357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30704"/>
        <c:crosses val="autoZero"/>
        <c:auto val="1"/>
        <c:lblAlgn val="ctr"/>
        <c:lblOffset val="100"/>
        <c:noMultiLvlLbl val="0"/>
      </c:catAx>
      <c:valAx>
        <c:axId val="49813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3975409011373578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3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Extent of Agreement/Disagreement on</a:t>
            </a:r>
            <a:r>
              <a:rPr lang="en-US" sz="1000" baseline="0"/>
              <a:t> </a:t>
            </a:r>
            <a:r>
              <a:rPr lang="en-US" sz="1000"/>
              <a:t>having access to radio/ social media broadcast on Adolescent and Youth health issues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459536307961503"/>
          <c:y val="0.16393518518518516"/>
          <c:w val="0.67218241469816276"/>
          <c:h val="0.630493948673082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Sheet4!$C$82:$C$86</c:f>
              <c:strCache>
                <c:ptCount val="5"/>
                <c:pt idx="0">
                  <c:v>agree</c:v>
                </c:pt>
                <c:pt idx="1">
                  <c:v>agree_strongly</c:v>
                </c:pt>
                <c:pt idx="2">
                  <c:v>disagree</c:v>
                </c:pt>
                <c:pt idx="3">
                  <c:v>disagree_strongly</c:v>
                </c:pt>
                <c:pt idx="4">
                  <c:v>neutral</c:v>
                </c:pt>
              </c:strCache>
            </c:strRef>
          </c:cat>
          <c:val>
            <c:numRef>
              <c:f>Sheet4!$D$82:$D$86</c:f>
              <c:numCache>
                <c:formatCode>###0</c:formatCode>
                <c:ptCount val="5"/>
                <c:pt idx="0">
                  <c:v>30</c:v>
                </c:pt>
                <c:pt idx="1">
                  <c:v>19</c:v>
                </c:pt>
                <c:pt idx="2">
                  <c:v>13</c:v>
                </c:pt>
                <c:pt idx="3">
                  <c:v>16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1-4348-804D-066921FB8C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98129456"/>
        <c:axId val="498128624"/>
      </c:barChart>
      <c:catAx>
        <c:axId val="4981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Extent of Agreement/Disagreement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18300925925925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28624"/>
        <c:crosses val="autoZero"/>
        <c:auto val="1"/>
        <c:lblAlgn val="ctr"/>
        <c:lblOffset val="100"/>
        <c:noMultiLvlLbl val="0"/>
      </c:catAx>
      <c:valAx>
        <c:axId val="49812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0.38642979002624672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2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5.xml"/><Relationship Id="rId3" Type="http://schemas.openxmlformats.org/officeDocument/2006/relationships/chart" Target="../charts/chart40.xml"/><Relationship Id="rId7" Type="http://schemas.openxmlformats.org/officeDocument/2006/relationships/chart" Target="../charts/chart44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10" Type="http://schemas.openxmlformats.org/officeDocument/2006/relationships/chart" Target="../charts/chart47.xml"/><Relationship Id="rId4" Type="http://schemas.openxmlformats.org/officeDocument/2006/relationships/chart" Target="../charts/chart41.xml"/><Relationship Id="rId9" Type="http://schemas.openxmlformats.org/officeDocument/2006/relationships/chart" Target="../charts/chart4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11" Type="http://schemas.openxmlformats.org/officeDocument/2006/relationships/chart" Target="../charts/chart58.xml"/><Relationship Id="rId5" Type="http://schemas.openxmlformats.org/officeDocument/2006/relationships/chart" Target="../charts/chart52.xml"/><Relationship Id="rId10" Type="http://schemas.openxmlformats.org/officeDocument/2006/relationships/chart" Target="../charts/chart57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4</xdr:row>
      <xdr:rowOff>9526</xdr:rowOff>
    </xdr:from>
    <xdr:to>
      <xdr:col>17</xdr:col>
      <xdr:colOff>19050</xdr:colOff>
      <xdr:row>15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590551</xdr:colOff>
      <xdr:row>26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16</xdr:col>
      <xdr:colOff>495300</xdr:colOff>
      <xdr:row>36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37</xdr:row>
      <xdr:rowOff>66676</xdr:rowOff>
    </xdr:from>
    <xdr:to>
      <xdr:col>16</xdr:col>
      <xdr:colOff>542925</xdr:colOff>
      <xdr:row>48</xdr:row>
      <xdr:rowOff>19051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49</xdr:row>
      <xdr:rowOff>0</xdr:rowOff>
    </xdr:from>
    <xdr:to>
      <xdr:col>16</xdr:col>
      <xdr:colOff>581025</xdr:colOff>
      <xdr:row>59</xdr:row>
      <xdr:rowOff>57150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</xdr:colOff>
      <xdr:row>60</xdr:row>
      <xdr:rowOff>1</xdr:rowOff>
    </xdr:from>
    <xdr:to>
      <xdr:col>17</xdr:col>
      <xdr:colOff>1</xdr:colOff>
      <xdr:row>70</xdr:row>
      <xdr:rowOff>19050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71</xdr:row>
      <xdr:rowOff>0</xdr:rowOff>
    </xdr:from>
    <xdr:to>
      <xdr:col>17</xdr:col>
      <xdr:colOff>57150</xdr:colOff>
      <xdr:row>81</xdr:row>
      <xdr:rowOff>95250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82</xdr:row>
      <xdr:rowOff>0</xdr:rowOff>
    </xdr:from>
    <xdr:to>
      <xdr:col>16</xdr:col>
      <xdr:colOff>590550</xdr:colOff>
      <xdr:row>92</xdr:row>
      <xdr:rowOff>57150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93</xdr:row>
      <xdr:rowOff>0</xdr:rowOff>
    </xdr:from>
    <xdr:to>
      <xdr:col>16</xdr:col>
      <xdr:colOff>581025</xdr:colOff>
      <xdr:row>103</xdr:row>
      <xdr:rowOff>123825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104</xdr:row>
      <xdr:rowOff>0</xdr:rowOff>
    </xdr:from>
    <xdr:to>
      <xdr:col>16</xdr:col>
      <xdr:colOff>581025</xdr:colOff>
      <xdr:row>113</xdr:row>
      <xdr:rowOff>171450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115</xdr:row>
      <xdr:rowOff>0</xdr:rowOff>
    </xdr:from>
    <xdr:to>
      <xdr:col>17</xdr:col>
      <xdr:colOff>9525</xdr:colOff>
      <xdr:row>125</xdr:row>
      <xdr:rowOff>19050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3</xdr:row>
      <xdr:rowOff>38100</xdr:rowOff>
    </xdr:from>
    <xdr:to>
      <xdr:col>15</xdr:col>
      <xdr:colOff>257174</xdr:colOff>
      <xdr:row>15</xdr:row>
      <xdr:rowOff>76199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16</xdr:row>
      <xdr:rowOff>95250</xdr:rowOff>
    </xdr:from>
    <xdr:to>
      <xdr:col>15</xdr:col>
      <xdr:colOff>228600</xdr:colOff>
      <xdr:row>25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95250</xdr:colOff>
      <xdr:row>26</xdr:row>
      <xdr:rowOff>152400</xdr:rowOff>
    </xdr:from>
    <xdr:to>
      <xdr:col>15</xdr:col>
      <xdr:colOff>209550</xdr:colOff>
      <xdr:row>37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85725</xdr:colOff>
      <xdr:row>38</xdr:row>
      <xdr:rowOff>28575</xdr:rowOff>
    </xdr:from>
    <xdr:to>
      <xdr:col>15</xdr:col>
      <xdr:colOff>371476</xdr:colOff>
      <xdr:row>48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152400</xdr:colOff>
      <xdr:row>49</xdr:row>
      <xdr:rowOff>209550</xdr:rowOff>
    </xdr:from>
    <xdr:to>
      <xdr:col>14</xdr:col>
      <xdr:colOff>600075</xdr:colOff>
      <xdr:row>59</xdr:row>
      <xdr:rowOff>19050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123825</xdr:colOff>
      <xdr:row>59</xdr:row>
      <xdr:rowOff>180975</xdr:rowOff>
    </xdr:from>
    <xdr:to>
      <xdr:col>15</xdr:col>
      <xdr:colOff>47625</xdr:colOff>
      <xdr:row>69</xdr:row>
      <xdr:rowOff>19050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95250</xdr:colOff>
      <xdr:row>71</xdr:row>
      <xdr:rowOff>152400</xdr:rowOff>
    </xdr:from>
    <xdr:to>
      <xdr:col>15</xdr:col>
      <xdr:colOff>142875</xdr:colOff>
      <xdr:row>82</xdr:row>
      <xdr:rowOff>85725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95250</xdr:colOff>
      <xdr:row>83</xdr:row>
      <xdr:rowOff>133349</xdr:rowOff>
    </xdr:from>
    <xdr:to>
      <xdr:col>15</xdr:col>
      <xdr:colOff>180975</xdr:colOff>
      <xdr:row>92</xdr:row>
      <xdr:rowOff>190499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114301</xdr:colOff>
      <xdr:row>93</xdr:row>
      <xdr:rowOff>142875</xdr:rowOff>
    </xdr:from>
    <xdr:to>
      <xdr:col>15</xdr:col>
      <xdr:colOff>476251</xdr:colOff>
      <xdr:row>104</xdr:row>
      <xdr:rowOff>57150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104775</xdr:colOff>
      <xdr:row>104</xdr:row>
      <xdr:rowOff>152400</xdr:rowOff>
    </xdr:from>
    <xdr:to>
      <xdr:col>15</xdr:col>
      <xdr:colOff>447675</xdr:colOff>
      <xdr:row>114</xdr:row>
      <xdr:rowOff>142875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3</xdr:row>
      <xdr:rowOff>38100</xdr:rowOff>
    </xdr:from>
    <xdr:to>
      <xdr:col>15</xdr:col>
      <xdr:colOff>495300</xdr:colOff>
      <xdr:row>12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</xdr:colOff>
      <xdr:row>13</xdr:row>
      <xdr:rowOff>142875</xdr:rowOff>
    </xdr:from>
    <xdr:to>
      <xdr:col>15</xdr:col>
      <xdr:colOff>466725</xdr:colOff>
      <xdr:row>23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85724</xdr:colOff>
      <xdr:row>24</xdr:row>
      <xdr:rowOff>133350</xdr:rowOff>
    </xdr:from>
    <xdr:to>
      <xdr:col>16</xdr:col>
      <xdr:colOff>47625</xdr:colOff>
      <xdr:row>34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85725</xdr:colOff>
      <xdr:row>36</xdr:row>
      <xdr:rowOff>142876</xdr:rowOff>
    </xdr:from>
    <xdr:to>
      <xdr:col>15</xdr:col>
      <xdr:colOff>571500</xdr:colOff>
      <xdr:row>45</xdr:row>
      <xdr:rowOff>171451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85726</xdr:colOff>
      <xdr:row>47</xdr:row>
      <xdr:rowOff>9525</xdr:rowOff>
    </xdr:from>
    <xdr:to>
      <xdr:col>16</xdr:col>
      <xdr:colOff>76200</xdr:colOff>
      <xdr:row>57</xdr:row>
      <xdr:rowOff>66675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104775</xdr:colOff>
      <xdr:row>58</xdr:row>
      <xdr:rowOff>0</xdr:rowOff>
    </xdr:from>
    <xdr:to>
      <xdr:col>16</xdr:col>
      <xdr:colOff>152400</xdr:colOff>
      <xdr:row>68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95250</xdr:colOff>
      <xdr:row>69</xdr:row>
      <xdr:rowOff>85725</xdr:rowOff>
    </xdr:from>
    <xdr:to>
      <xdr:col>16</xdr:col>
      <xdr:colOff>57150</xdr:colOff>
      <xdr:row>79</xdr:row>
      <xdr:rowOff>28575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66675</xdr:colOff>
      <xdr:row>80</xdr:row>
      <xdr:rowOff>47624</xdr:rowOff>
    </xdr:from>
    <xdr:to>
      <xdr:col>16</xdr:col>
      <xdr:colOff>9525</xdr:colOff>
      <xdr:row>91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619124</xdr:colOff>
      <xdr:row>0</xdr:row>
      <xdr:rowOff>85725</xdr:rowOff>
    </xdr:from>
    <xdr:to>
      <xdr:col>11</xdr:col>
      <xdr:colOff>247650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5</xdr:row>
      <xdr:rowOff>66675</xdr:rowOff>
    </xdr:from>
    <xdr:to>
      <xdr:col>9</xdr:col>
      <xdr:colOff>523875</xdr:colOff>
      <xdr:row>16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</xdr:colOff>
      <xdr:row>16</xdr:row>
      <xdr:rowOff>38100</xdr:rowOff>
    </xdr:from>
    <xdr:to>
      <xdr:col>12</xdr:col>
      <xdr:colOff>571500</xdr:colOff>
      <xdr:row>26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133349</xdr:colOff>
      <xdr:row>24</xdr:row>
      <xdr:rowOff>66675</xdr:rowOff>
    </xdr:from>
    <xdr:to>
      <xdr:col>12</xdr:col>
      <xdr:colOff>9524</xdr:colOff>
      <xdr:row>33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466724</xdr:colOff>
      <xdr:row>30</xdr:row>
      <xdr:rowOff>114301</xdr:rowOff>
    </xdr:from>
    <xdr:to>
      <xdr:col>11</xdr:col>
      <xdr:colOff>476250</xdr:colOff>
      <xdr:row>40</xdr:row>
      <xdr:rowOff>19051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409574</xdr:colOff>
      <xdr:row>37</xdr:row>
      <xdr:rowOff>38100</xdr:rowOff>
    </xdr:from>
    <xdr:to>
      <xdr:col>10</xdr:col>
      <xdr:colOff>419100</xdr:colOff>
      <xdr:row>46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523875</xdr:colOff>
      <xdr:row>46</xdr:row>
      <xdr:rowOff>123825</xdr:rowOff>
    </xdr:from>
    <xdr:to>
      <xdr:col>10</xdr:col>
      <xdr:colOff>171450</xdr:colOff>
      <xdr:row>56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533399</xdr:colOff>
      <xdr:row>56</xdr:row>
      <xdr:rowOff>152400</xdr:rowOff>
    </xdr:from>
    <xdr:to>
      <xdr:col>9</xdr:col>
      <xdr:colOff>581025</xdr:colOff>
      <xdr:row>65</xdr:row>
      <xdr:rowOff>171450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219076</xdr:colOff>
      <xdr:row>0</xdr:row>
      <xdr:rowOff>133350</xdr:rowOff>
    </xdr:from>
    <xdr:to>
      <xdr:col>11</xdr:col>
      <xdr:colOff>466726</xdr:colOff>
      <xdr:row>7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533399</xdr:colOff>
      <xdr:row>5</xdr:row>
      <xdr:rowOff>9526</xdr:rowOff>
    </xdr:from>
    <xdr:to>
      <xdr:col>13</xdr:col>
      <xdr:colOff>76200</xdr:colOff>
      <xdr:row>13</xdr:row>
      <xdr:rowOff>85726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295274</xdr:colOff>
      <xdr:row>14</xdr:row>
      <xdr:rowOff>28576</xdr:rowOff>
    </xdr:from>
    <xdr:to>
      <xdr:col>12</xdr:col>
      <xdr:colOff>285749</xdr:colOff>
      <xdr:row>20</xdr:row>
      <xdr:rowOff>142876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</xdr:colOff>
      <xdr:row>20</xdr:row>
      <xdr:rowOff>152401</xdr:rowOff>
    </xdr:from>
    <xdr:to>
      <xdr:col>10</xdr:col>
      <xdr:colOff>238126</xdr:colOff>
      <xdr:row>27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447674</xdr:colOff>
      <xdr:row>26</xdr:row>
      <xdr:rowOff>66675</xdr:rowOff>
    </xdr:from>
    <xdr:to>
      <xdr:col>11</xdr:col>
      <xdr:colOff>190499</xdr:colOff>
      <xdr:row>36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409575</xdr:colOff>
      <xdr:row>33</xdr:row>
      <xdr:rowOff>123825</xdr:rowOff>
    </xdr:from>
    <xdr:to>
      <xdr:col>11</xdr:col>
      <xdr:colOff>38100</xdr:colOff>
      <xdr:row>43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714375</xdr:colOff>
      <xdr:row>38</xdr:row>
      <xdr:rowOff>38100</xdr:rowOff>
    </xdr:from>
    <xdr:to>
      <xdr:col>10</xdr:col>
      <xdr:colOff>371475</xdr:colOff>
      <xdr:row>49</xdr:row>
      <xdr:rowOff>123825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276224</xdr:colOff>
      <xdr:row>47</xdr:row>
      <xdr:rowOff>0</xdr:rowOff>
    </xdr:from>
    <xdr:to>
      <xdr:col>9</xdr:col>
      <xdr:colOff>409575</xdr:colOff>
      <xdr:row>57</xdr:row>
      <xdr:rowOff>19050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28574</xdr:colOff>
      <xdr:row>54</xdr:row>
      <xdr:rowOff>66675</xdr:rowOff>
    </xdr:from>
    <xdr:to>
      <xdr:col>9</xdr:col>
      <xdr:colOff>390525</xdr:colOff>
      <xdr:row>66</xdr:row>
      <xdr:rowOff>104775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152399</xdr:colOff>
      <xdr:row>65</xdr:row>
      <xdr:rowOff>142875</xdr:rowOff>
    </xdr:from>
    <xdr:to>
      <xdr:col>12</xdr:col>
      <xdr:colOff>38100</xdr:colOff>
      <xdr:row>76</xdr:row>
      <xdr:rowOff>180975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123824</xdr:colOff>
      <xdr:row>1</xdr:row>
      <xdr:rowOff>133349</xdr:rowOff>
    </xdr:from>
    <xdr:to>
      <xdr:col>10</xdr:col>
      <xdr:colOff>561975</xdr:colOff>
      <xdr:row>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466723</xdr:colOff>
      <xdr:row>1</xdr:row>
      <xdr:rowOff>66675</xdr:rowOff>
    </xdr:from>
    <xdr:to>
      <xdr:col>12</xdr:col>
      <xdr:colOff>447674</xdr:colOff>
      <xdr:row>12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13</xdr:row>
      <xdr:rowOff>161925</xdr:rowOff>
    </xdr:from>
    <xdr:to>
      <xdr:col>12</xdr:col>
      <xdr:colOff>533400</xdr:colOff>
      <xdr:row>24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66674</xdr:colOff>
      <xdr:row>24</xdr:row>
      <xdr:rowOff>161925</xdr:rowOff>
    </xdr:from>
    <xdr:to>
      <xdr:col>12</xdr:col>
      <xdr:colOff>609599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542924</xdr:colOff>
      <xdr:row>29</xdr:row>
      <xdr:rowOff>38100</xdr:rowOff>
    </xdr:from>
    <xdr:to>
      <xdr:col>12</xdr:col>
      <xdr:colOff>514349</xdr:colOff>
      <xdr:row>40</xdr:row>
      <xdr:rowOff>19050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514349</xdr:colOff>
      <xdr:row>36</xdr:row>
      <xdr:rowOff>9525</xdr:rowOff>
    </xdr:from>
    <xdr:to>
      <xdr:col>13</xdr:col>
      <xdr:colOff>47624</xdr:colOff>
      <xdr:row>47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514349</xdr:colOff>
      <xdr:row>49</xdr:row>
      <xdr:rowOff>9525</xdr:rowOff>
    </xdr:from>
    <xdr:to>
      <xdr:col>12</xdr:col>
      <xdr:colOff>542924</xdr:colOff>
      <xdr:row>60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514350</xdr:colOff>
      <xdr:row>56</xdr:row>
      <xdr:rowOff>9525</xdr:rowOff>
    </xdr:from>
    <xdr:to>
      <xdr:col>12</xdr:col>
      <xdr:colOff>495300</xdr:colOff>
      <xdr:row>67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514349</xdr:colOff>
      <xdr:row>62</xdr:row>
      <xdr:rowOff>9525</xdr:rowOff>
    </xdr:from>
    <xdr:to>
      <xdr:col>12</xdr:col>
      <xdr:colOff>485774</xdr:colOff>
      <xdr:row>73</xdr:row>
      <xdr:rowOff>95250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514350</xdr:colOff>
      <xdr:row>67</xdr:row>
      <xdr:rowOff>9525</xdr:rowOff>
    </xdr:from>
    <xdr:to>
      <xdr:col>12</xdr:col>
      <xdr:colOff>514350</xdr:colOff>
      <xdr:row>77</xdr:row>
      <xdr:rowOff>133350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495299</xdr:colOff>
      <xdr:row>74</xdr:row>
      <xdr:rowOff>152400</xdr:rowOff>
    </xdr:from>
    <xdr:to>
      <xdr:col>12</xdr:col>
      <xdr:colOff>504824</xdr:colOff>
      <xdr:row>85</xdr:row>
      <xdr:rowOff>123825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E6:E16" totalsRowShown="0" headerRowDxfId="1">
  <autoFilter ref="E6:E16"/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C1" workbookViewId="0">
      <selection activeCell="D8" sqref="D8"/>
    </sheetView>
  </sheetViews>
  <sheetFormatPr defaultColWidth="0" defaultRowHeight="15" zeroHeight="1" x14ac:dyDescent="0.25"/>
  <cols>
    <col min="1" max="3" width="9.140625" customWidth="1"/>
    <col min="4" max="4" width="28.140625" customWidth="1"/>
    <col min="5" max="5" width="11.5703125" customWidth="1"/>
    <col min="6" max="6" width="9.140625" customWidth="1"/>
    <col min="7" max="7" width="12.7109375" customWidth="1"/>
    <col min="8" max="9" width="9.140625" customWidth="1"/>
    <col min="10" max="16384" width="9.140625" hidden="1"/>
  </cols>
  <sheetData>
    <row r="1" spans="4:8" x14ac:dyDescent="0.25"/>
    <row r="2" spans="4:8" x14ac:dyDescent="0.25"/>
    <row r="3" spans="4:8" ht="16.5" x14ac:dyDescent="0.25">
      <c r="D3" s="102" t="s">
        <v>30</v>
      </c>
      <c r="E3" s="102"/>
      <c r="F3" s="102"/>
      <c r="G3" s="102"/>
      <c r="H3" s="102"/>
    </row>
    <row r="4" spans="4:8" x14ac:dyDescent="0.25"/>
    <row r="5" spans="4:8" x14ac:dyDescent="0.25">
      <c r="D5" s="103" t="s">
        <v>14</v>
      </c>
      <c r="E5" s="103"/>
      <c r="F5" s="103"/>
      <c r="G5" s="103"/>
      <c r="H5" s="1"/>
    </row>
    <row r="6" spans="4:8" ht="24" customHeight="1" x14ac:dyDescent="0.25">
      <c r="D6" s="2"/>
      <c r="E6" s="2" t="s">
        <v>1</v>
      </c>
      <c r="F6" s="2" t="s">
        <v>2</v>
      </c>
      <c r="G6" s="2" t="s">
        <v>3</v>
      </c>
      <c r="H6" s="1"/>
    </row>
    <row r="7" spans="4:8" x14ac:dyDescent="0.25">
      <c r="D7" s="2" t="s">
        <v>15</v>
      </c>
      <c r="E7" s="3">
        <v>4</v>
      </c>
      <c r="F7" s="4">
        <v>4.5454545454545459</v>
      </c>
      <c r="G7" s="4">
        <v>4.5454545454545459</v>
      </c>
      <c r="H7" s="1"/>
    </row>
    <row r="8" spans="4:8" x14ac:dyDescent="0.25">
      <c r="D8" s="2" t="s">
        <v>4</v>
      </c>
      <c r="E8" s="3">
        <v>14</v>
      </c>
      <c r="F8" s="4">
        <v>15.909090909090908</v>
      </c>
      <c r="G8" s="4">
        <v>20.454545454545457</v>
      </c>
      <c r="H8" s="1"/>
    </row>
    <row r="9" spans="4:8" x14ac:dyDescent="0.25">
      <c r="D9" s="2" t="s">
        <v>5</v>
      </c>
      <c r="E9" s="3">
        <v>27</v>
      </c>
      <c r="F9" s="4">
        <v>30.681818181818183</v>
      </c>
      <c r="G9" s="4">
        <v>51.136363636363633</v>
      </c>
      <c r="H9" s="1"/>
    </row>
    <row r="10" spans="4:8" x14ac:dyDescent="0.25">
      <c r="D10" s="2" t="s">
        <v>6</v>
      </c>
      <c r="E10" s="3">
        <v>43</v>
      </c>
      <c r="F10" s="4">
        <v>48.863636363636367</v>
      </c>
      <c r="G10" s="4">
        <v>100</v>
      </c>
      <c r="H10" s="1"/>
    </row>
    <row r="11" spans="4:8" x14ac:dyDescent="0.25">
      <c r="D11" s="7" t="s">
        <v>7</v>
      </c>
      <c r="E11" s="8">
        <v>88</v>
      </c>
      <c r="F11" s="9">
        <v>100</v>
      </c>
      <c r="G11" s="5"/>
      <c r="H11" s="1"/>
    </row>
    <row r="12" spans="4:8" x14ac:dyDescent="0.25">
      <c r="D12" s="1"/>
      <c r="E12" s="1"/>
      <c r="F12" s="1"/>
      <c r="G12" s="1"/>
      <c r="H12" s="1"/>
    </row>
    <row r="13" spans="4:8" x14ac:dyDescent="0.25">
      <c r="D13" s="101" t="s">
        <v>17</v>
      </c>
      <c r="E13" s="101"/>
      <c r="F13" s="101"/>
      <c r="G13" s="101"/>
      <c r="H13" s="1"/>
    </row>
    <row r="14" spans="4:8" ht="24" x14ac:dyDescent="0.25">
      <c r="D14" s="2"/>
      <c r="E14" s="2" t="s">
        <v>1</v>
      </c>
      <c r="F14" s="2" t="s">
        <v>2</v>
      </c>
      <c r="G14" s="2" t="s">
        <v>3</v>
      </c>
      <c r="H14" s="1"/>
    </row>
    <row r="15" spans="4:8" x14ac:dyDescent="0.25">
      <c r="D15" s="2" t="s">
        <v>15</v>
      </c>
      <c r="E15" s="3">
        <v>4</v>
      </c>
      <c r="F15" s="4">
        <v>4.5454545454545459</v>
      </c>
      <c r="G15" s="4">
        <v>4.5454545454545459</v>
      </c>
      <c r="H15" s="1"/>
    </row>
    <row r="16" spans="4:8" x14ac:dyDescent="0.25">
      <c r="D16" s="2" t="s">
        <v>8</v>
      </c>
      <c r="E16" s="3">
        <v>56</v>
      </c>
      <c r="F16" s="4">
        <v>63.636363636363633</v>
      </c>
      <c r="G16" s="4">
        <v>68.181818181818173</v>
      </c>
      <c r="H16" s="1"/>
    </row>
    <row r="17" spans="4:8" x14ac:dyDescent="0.25">
      <c r="D17" s="2" t="s">
        <v>9</v>
      </c>
      <c r="E17" s="3">
        <v>28</v>
      </c>
      <c r="F17" s="4">
        <v>31.818181818181817</v>
      </c>
      <c r="G17" s="4">
        <v>100</v>
      </c>
      <c r="H17" s="1"/>
    </row>
    <row r="18" spans="4:8" x14ac:dyDescent="0.25">
      <c r="D18" s="7" t="s">
        <v>7</v>
      </c>
      <c r="E18" s="8">
        <v>88</v>
      </c>
      <c r="F18" s="9">
        <v>100</v>
      </c>
      <c r="G18" s="5"/>
      <c r="H18" s="1"/>
    </row>
    <row r="19" spans="4:8" x14ac:dyDescent="0.25">
      <c r="D19" s="1"/>
      <c r="E19" s="1"/>
      <c r="F19" s="1"/>
      <c r="G19" s="1"/>
      <c r="H19" s="1"/>
    </row>
    <row r="20" spans="4:8" x14ac:dyDescent="0.25">
      <c r="D20" s="101" t="s">
        <v>16</v>
      </c>
      <c r="E20" s="101"/>
      <c r="F20" s="101"/>
      <c r="G20" s="101"/>
      <c r="H20" s="1"/>
    </row>
    <row r="21" spans="4:8" ht="24" x14ac:dyDescent="0.25">
      <c r="D21" s="2"/>
      <c r="E21" s="2" t="s">
        <v>1</v>
      </c>
      <c r="F21" s="2" t="s">
        <v>2</v>
      </c>
      <c r="G21" s="2" t="s">
        <v>3</v>
      </c>
      <c r="H21" s="1"/>
    </row>
    <row r="22" spans="4:8" x14ac:dyDescent="0.25">
      <c r="D22" s="2" t="s">
        <v>15</v>
      </c>
      <c r="E22" s="3">
        <v>4</v>
      </c>
      <c r="F22" s="4">
        <v>4.5454545454545459</v>
      </c>
      <c r="G22" s="4">
        <v>4.5454545454545459</v>
      </c>
      <c r="H22" s="1"/>
    </row>
    <row r="23" spans="4:8" x14ac:dyDescent="0.25">
      <c r="D23" s="2" t="s">
        <v>10</v>
      </c>
      <c r="E23" s="3">
        <v>10</v>
      </c>
      <c r="F23" s="4">
        <v>11.363636363636363</v>
      </c>
      <c r="G23" s="4">
        <v>15.909090909090908</v>
      </c>
      <c r="H23" s="1"/>
    </row>
    <row r="24" spans="4:8" x14ac:dyDescent="0.25">
      <c r="D24" s="2" t="s">
        <v>11</v>
      </c>
      <c r="E24" s="3">
        <v>67</v>
      </c>
      <c r="F24" s="4">
        <v>76.13636363636364</v>
      </c>
      <c r="G24" s="4">
        <v>92.045454545454547</v>
      </c>
      <c r="H24" s="1"/>
    </row>
    <row r="25" spans="4:8" x14ac:dyDescent="0.25">
      <c r="D25" s="2" t="s">
        <v>12</v>
      </c>
      <c r="E25" s="3">
        <v>2</v>
      </c>
      <c r="F25" s="4">
        <v>2.2727272727272729</v>
      </c>
      <c r="G25" s="4">
        <v>94.318181818181827</v>
      </c>
      <c r="H25" s="1"/>
    </row>
    <row r="26" spans="4:8" x14ac:dyDescent="0.25">
      <c r="D26" s="2" t="s">
        <v>13</v>
      </c>
      <c r="E26" s="3">
        <v>5</v>
      </c>
      <c r="F26" s="4">
        <v>5.6818181818181817</v>
      </c>
      <c r="G26" s="4">
        <v>100</v>
      </c>
      <c r="H26" s="1"/>
    </row>
    <row r="27" spans="4:8" x14ac:dyDescent="0.25">
      <c r="D27" s="7" t="s">
        <v>7</v>
      </c>
      <c r="E27" s="8">
        <v>88</v>
      </c>
      <c r="F27" s="9">
        <v>100</v>
      </c>
      <c r="G27" s="6"/>
      <c r="H27" s="1"/>
    </row>
    <row r="28" spans="4:8" x14ac:dyDescent="0.25"/>
    <row r="29" spans="4:8" x14ac:dyDescent="0.25"/>
    <row r="30" spans="4:8" ht="13.5" hidden="1" customHeight="1" x14ac:dyDescent="0.25"/>
  </sheetData>
  <mergeCells count="4">
    <mergeCell ref="D20:G20"/>
    <mergeCell ref="D3:H3"/>
    <mergeCell ref="D5:G5"/>
    <mergeCell ref="D13:G1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zoomScale="80" zoomScaleNormal="80" workbookViewId="0">
      <selection activeCell="L7" sqref="L7:O7"/>
    </sheetView>
  </sheetViews>
  <sheetFormatPr defaultColWidth="0" defaultRowHeight="15" zeroHeight="1" x14ac:dyDescent="0.25"/>
  <cols>
    <col min="1" max="1" width="7.85546875" customWidth="1"/>
    <col min="2" max="2" width="27.28515625" customWidth="1"/>
    <col min="3" max="8" width="13.85546875" customWidth="1"/>
    <col min="9" max="9" width="8.140625" customWidth="1"/>
    <col min="10" max="10" width="22.85546875" customWidth="1"/>
    <col min="11" max="11" width="13.85546875" customWidth="1"/>
    <col min="12" max="12" width="11.28515625" customWidth="1"/>
    <col min="13" max="13" width="11.7109375" customWidth="1"/>
    <col min="14" max="14" width="13.85546875" customWidth="1"/>
    <col min="15" max="15" width="9.85546875" customWidth="1"/>
    <col min="16" max="16" width="11.42578125" customWidth="1"/>
    <col min="17" max="17" width="10.85546875" customWidth="1"/>
    <col min="18" max="18" width="13.85546875" customWidth="1"/>
    <col min="19" max="22" width="13.85546875" hidden="1" customWidth="1"/>
    <col min="23" max="23" width="7.85546875" hidden="1" customWidth="1"/>
    <col min="24" max="24" width="0" hidden="1" customWidth="1"/>
    <col min="25" max="16384" width="13.85546875" hidden="1"/>
  </cols>
  <sheetData>
    <row r="1" spans="2:22" x14ac:dyDescent="0.25"/>
    <row r="2" spans="2:22" x14ac:dyDescent="0.25">
      <c r="B2" s="108" t="s">
        <v>153</v>
      </c>
      <c r="C2" s="108"/>
      <c r="D2" s="108"/>
      <c r="E2" s="108"/>
      <c r="F2" s="108"/>
      <c r="G2" s="108"/>
      <c r="H2" s="108"/>
    </row>
    <row r="3" spans="2:22" x14ac:dyDescent="0.25">
      <c r="B3" s="108"/>
      <c r="C3" s="108"/>
      <c r="D3" s="108"/>
      <c r="E3" s="108"/>
      <c r="F3" s="108"/>
      <c r="G3" s="108"/>
      <c r="H3" s="108"/>
    </row>
    <row r="4" spans="2:22" x14ac:dyDescent="0.25"/>
    <row r="5" spans="2:22" x14ac:dyDescent="0.25"/>
    <row r="6" spans="2:22" ht="17.25" customHeight="1" x14ac:dyDescent="0.25">
      <c r="B6" s="111" t="s">
        <v>27</v>
      </c>
      <c r="C6" s="111"/>
      <c r="D6" s="111"/>
      <c r="E6" s="111"/>
      <c r="F6" s="111"/>
      <c r="G6" s="111"/>
      <c r="H6" s="111"/>
      <c r="I6" s="10"/>
      <c r="J6" s="114" t="s">
        <v>166</v>
      </c>
      <c r="K6" s="114"/>
      <c r="L6" s="114"/>
      <c r="M6" s="114"/>
      <c r="N6" s="114"/>
      <c r="O6" s="114"/>
      <c r="P6" s="114"/>
      <c r="Q6" s="114"/>
      <c r="R6" s="10"/>
      <c r="S6" s="10"/>
      <c r="T6" s="10"/>
      <c r="U6" s="10"/>
      <c r="V6" s="10"/>
    </row>
    <row r="7" spans="2:22" x14ac:dyDescent="0.25">
      <c r="B7" s="112" t="s">
        <v>0</v>
      </c>
      <c r="C7" s="112"/>
      <c r="D7" s="112" t="s">
        <v>25</v>
      </c>
      <c r="E7" s="112"/>
      <c r="F7" s="112"/>
      <c r="G7" s="106" t="s">
        <v>28</v>
      </c>
      <c r="H7" s="104" t="s">
        <v>7</v>
      </c>
      <c r="I7" s="10"/>
      <c r="J7" s="112" t="s">
        <v>0</v>
      </c>
      <c r="K7" s="112"/>
      <c r="L7" s="112" t="s">
        <v>169</v>
      </c>
      <c r="M7" s="112"/>
      <c r="N7" s="112"/>
      <c r="O7" s="112"/>
      <c r="P7" s="106" t="s">
        <v>28</v>
      </c>
      <c r="Q7" s="104" t="s">
        <v>7</v>
      </c>
      <c r="R7" s="10"/>
      <c r="S7" s="10"/>
      <c r="T7" s="10"/>
      <c r="U7" s="10"/>
      <c r="V7" s="10"/>
    </row>
    <row r="8" spans="2:22" x14ac:dyDescent="0.25">
      <c r="B8" s="112"/>
      <c r="C8" s="112"/>
      <c r="D8" s="11" t="s">
        <v>0</v>
      </c>
      <c r="E8" s="11" t="s">
        <v>8</v>
      </c>
      <c r="F8" s="11" t="s">
        <v>9</v>
      </c>
      <c r="G8" s="107"/>
      <c r="H8" s="104"/>
      <c r="I8" s="10"/>
      <c r="J8" s="112"/>
      <c r="K8" s="112"/>
      <c r="L8" s="82" t="s">
        <v>167</v>
      </c>
      <c r="M8" s="82" t="s">
        <v>4</v>
      </c>
      <c r="N8" s="82" t="s">
        <v>5</v>
      </c>
      <c r="O8" s="82" t="s">
        <v>6</v>
      </c>
      <c r="P8" s="107"/>
      <c r="Q8" s="104"/>
      <c r="R8" s="10"/>
      <c r="S8" s="10"/>
      <c r="T8" s="10"/>
      <c r="U8" s="10"/>
      <c r="V8" s="10"/>
    </row>
    <row r="9" spans="2:22" x14ac:dyDescent="0.25">
      <c r="B9" s="113" t="s">
        <v>23</v>
      </c>
      <c r="C9" s="13"/>
      <c r="D9" s="14">
        <v>4</v>
      </c>
      <c r="E9" s="14">
        <v>0</v>
      </c>
      <c r="F9" s="14">
        <v>0</v>
      </c>
      <c r="G9" s="19">
        <v>4.5999999999999999E-2</v>
      </c>
      <c r="H9" s="14">
        <v>4</v>
      </c>
      <c r="I9" s="10"/>
      <c r="J9" s="104" t="s">
        <v>23</v>
      </c>
      <c r="K9" s="83"/>
      <c r="L9" s="14">
        <v>4</v>
      </c>
      <c r="M9" s="14"/>
      <c r="N9" s="14"/>
      <c r="O9" s="14"/>
      <c r="P9" s="91">
        <v>4.4999999999999998E-2</v>
      </c>
      <c r="Q9" s="92">
        <v>4</v>
      </c>
      <c r="R9" s="10"/>
      <c r="S9" s="10"/>
      <c r="T9" s="10"/>
      <c r="U9" s="10"/>
      <c r="V9" s="10"/>
    </row>
    <row r="10" spans="2:22" x14ac:dyDescent="0.25">
      <c r="B10" s="113"/>
      <c r="C10" s="13" t="s">
        <v>18</v>
      </c>
      <c r="D10" s="14">
        <v>0</v>
      </c>
      <c r="E10" s="14">
        <v>42</v>
      </c>
      <c r="F10" s="14">
        <v>22</v>
      </c>
      <c r="G10" s="19">
        <v>0.72699999999999998</v>
      </c>
      <c r="H10" s="14">
        <v>64</v>
      </c>
      <c r="I10" s="10"/>
      <c r="J10" s="104"/>
      <c r="K10" s="83" t="s">
        <v>18</v>
      </c>
      <c r="L10" s="14">
        <v>0</v>
      </c>
      <c r="M10" s="14">
        <v>10</v>
      </c>
      <c r="N10" s="14">
        <v>23</v>
      </c>
      <c r="O10" s="14">
        <v>31</v>
      </c>
      <c r="P10" s="91">
        <v>0.72699999999999998</v>
      </c>
      <c r="Q10" s="92">
        <f>SUM(M10:O10)</f>
        <v>64</v>
      </c>
      <c r="R10" s="10"/>
      <c r="S10" s="10"/>
      <c r="T10" s="10"/>
      <c r="U10" s="10"/>
      <c r="V10" s="10"/>
    </row>
    <row r="11" spans="2:22" x14ac:dyDescent="0.25">
      <c r="B11" s="113"/>
      <c r="C11" s="13" t="s">
        <v>19</v>
      </c>
      <c r="D11" s="14">
        <v>0</v>
      </c>
      <c r="E11" s="14">
        <v>12</v>
      </c>
      <c r="F11" s="14">
        <v>5</v>
      </c>
      <c r="G11" s="19">
        <v>0.193</v>
      </c>
      <c r="H11" s="14">
        <v>17</v>
      </c>
      <c r="I11" s="10"/>
      <c r="J11" s="104"/>
      <c r="K11" s="83" t="s">
        <v>19</v>
      </c>
      <c r="L11" s="14">
        <v>0</v>
      </c>
      <c r="M11" s="14">
        <v>3</v>
      </c>
      <c r="N11" s="14">
        <v>3</v>
      </c>
      <c r="O11" s="14">
        <v>11</v>
      </c>
      <c r="P11" s="91">
        <v>0.193</v>
      </c>
      <c r="Q11" s="92">
        <f>SUM(M11:O11)</f>
        <v>17</v>
      </c>
      <c r="R11" s="10"/>
      <c r="S11" s="10"/>
      <c r="T11" s="10"/>
      <c r="U11" s="10"/>
      <c r="V11" s="10"/>
    </row>
    <row r="12" spans="2:22" x14ac:dyDescent="0.25">
      <c r="B12" s="113"/>
      <c r="C12" s="13" t="s">
        <v>20</v>
      </c>
      <c r="D12" s="14">
        <v>0</v>
      </c>
      <c r="E12" s="14">
        <v>2</v>
      </c>
      <c r="F12" s="14">
        <v>1</v>
      </c>
      <c r="G12" s="19">
        <v>3.4000000000000002E-2</v>
      </c>
      <c r="H12" s="14">
        <v>3</v>
      </c>
      <c r="I12" s="10"/>
      <c r="J12" s="104"/>
      <c r="K12" s="83" t="s">
        <v>20</v>
      </c>
      <c r="L12" s="14">
        <v>0</v>
      </c>
      <c r="M12" s="14">
        <v>1</v>
      </c>
      <c r="N12" s="14">
        <v>1</v>
      </c>
      <c r="O12" s="14">
        <v>1</v>
      </c>
      <c r="P12" s="91">
        <v>3.5000000000000003E-2</v>
      </c>
      <c r="Q12" s="92">
        <f>SUM(M12:O12)</f>
        <v>3</v>
      </c>
      <c r="R12" s="10"/>
      <c r="S12" s="10"/>
      <c r="T12" s="10"/>
      <c r="U12" s="10"/>
      <c r="V12" s="10"/>
    </row>
    <row r="13" spans="2:22" x14ac:dyDescent="0.25">
      <c r="B13" s="109" t="s">
        <v>7</v>
      </c>
      <c r="C13" s="109"/>
      <c r="D13" s="15">
        <v>4</v>
      </c>
      <c r="E13" s="15">
        <v>56</v>
      </c>
      <c r="F13" s="15">
        <v>28</v>
      </c>
      <c r="G13" s="20">
        <f>SUM(G9:G12)</f>
        <v>1</v>
      </c>
      <c r="H13" s="15">
        <v>88</v>
      </c>
      <c r="I13" s="10"/>
      <c r="J13" s="109" t="s">
        <v>7</v>
      </c>
      <c r="K13" s="109"/>
      <c r="L13" s="15">
        <v>4</v>
      </c>
      <c r="M13" s="15">
        <f>SUM(M9:M12)</f>
        <v>14</v>
      </c>
      <c r="N13" s="15">
        <f>SUM(N9:N12)</f>
        <v>27</v>
      </c>
      <c r="O13" s="15">
        <f>SUM(O9:O12)</f>
        <v>43</v>
      </c>
      <c r="P13" s="20">
        <f>SUM(P9:P12)</f>
        <v>1</v>
      </c>
      <c r="Q13" s="15">
        <f>SUM(Q9:Q12)</f>
        <v>88</v>
      </c>
      <c r="R13" s="10"/>
      <c r="S13" s="10"/>
      <c r="T13" s="10"/>
      <c r="U13" s="10"/>
      <c r="V13" s="10"/>
    </row>
    <row r="14" spans="2:22" x14ac:dyDescent="0.25">
      <c r="B14" s="12"/>
      <c r="C14" s="12"/>
      <c r="D14" s="12"/>
      <c r="E14" s="12"/>
      <c r="F14" s="12"/>
      <c r="G14" s="21"/>
      <c r="H14" s="1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2:22" ht="15" customHeight="1" x14ac:dyDescent="0.25">
      <c r="B15" s="110" t="s">
        <v>26</v>
      </c>
      <c r="C15" s="110"/>
      <c r="D15" s="110"/>
      <c r="E15" s="110"/>
      <c r="F15" s="110"/>
      <c r="G15" s="110"/>
      <c r="H15" s="110"/>
      <c r="I15" s="10"/>
      <c r="J15" s="114" t="s">
        <v>168</v>
      </c>
      <c r="K15" s="114"/>
      <c r="L15" s="114"/>
      <c r="M15" s="114"/>
      <c r="N15" s="114"/>
      <c r="O15" s="114"/>
      <c r="P15" s="114"/>
      <c r="Q15" s="114"/>
      <c r="R15" s="10"/>
      <c r="S15" s="10"/>
      <c r="T15" s="10"/>
      <c r="U15" s="10"/>
      <c r="V15" s="10"/>
    </row>
    <row r="16" spans="2:22" ht="15" customHeight="1" x14ac:dyDescent="0.25">
      <c r="B16" s="104" t="s">
        <v>0</v>
      </c>
      <c r="C16" s="104"/>
      <c r="D16" s="104" t="s">
        <v>25</v>
      </c>
      <c r="E16" s="104"/>
      <c r="F16" s="104"/>
      <c r="G16" s="106" t="s">
        <v>28</v>
      </c>
      <c r="H16" s="104" t="s">
        <v>7</v>
      </c>
      <c r="I16" s="10"/>
      <c r="J16" s="112" t="s">
        <v>0</v>
      </c>
      <c r="K16" s="112"/>
      <c r="L16" s="112" t="s">
        <v>169</v>
      </c>
      <c r="M16" s="112"/>
      <c r="N16" s="112"/>
      <c r="O16" s="112"/>
      <c r="P16" s="106" t="s">
        <v>28</v>
      </c>
      <c r="Q16" s="104" t="s">
        <v>7</v>
      </c>
      <c r="R16" s="10"/>
      <c r="S16" s="10"/>
      <c r="T16" s="10"/>
      <c r="U16" s="10"/>
      <c r="V16" s="10"/>
    </row>
    <row r="17" spans="2:22" x14ac:dyDescent="0.25">
      <c r="B17" s="104"/>
      <c r="C17" s="104"/>
      <c r="D17" s="16" t="s">
        <v>0</v>
      </c>
      <c r="E17" s="16" t="s">
        <v>8</v>
      </c>
      <c r="F17" s="16" t="s">
        <v>9</v>
      </c>
      <c r="G17" s="107"/>
      <c r="H17" s="104"/>
      <c r="I17" s="10"/>
      <c r="J17" s="112"/>
      <c r="K17" s="112"/>
      <c r="L17" s="82" t="s">
        <v>167</v>
      </c>
      <c r="M17" s="82" t="s">
        <v>4</v>
      </c>
      <c r="N17" s="82" t="s">
        <v>5</v>
      </c>
      <c r="O17" s="82" t="s">
        <v>6</v>
      </c>
      <c r="P17" s="107"/>
      <c r="Q17" s="104"/>
      <c r="R17" s="10"/>
      <c r="S17" s="10"/>
      <c r="T17" s="10"/>
      <c r="U17" s="10"/>
      <c r="V17" s="10"/>
    </row>
    <row r="18" spans="2:22" ht="15" customHeight="1" x14ac:dyDescent="0.25">
      <c r="B18" s="104" t="s">
        <v>24</v>
      </c>
      <c r="C18" s="16" t="s">
        <v>0</v>
      </c>
      <c r="D18" s="17">
        <v>4</v>
      </c>
      <c r="E18" s="17">
        <v>0</v>
      </c>
      <c r="F18" s="17">
        <v>0</v>
      </c>
      <c r="G18" s="22">
        <v>4.5999999999999999E-2</v>
      </c>
      <c r="H18" s="17">
        <v>4</v>
      </c>
      <c r="I18" s="10"/>
      <c r="J18" s="104" t="s">
        <v>24</v>
      </c>
      <c r="K18" s="83"/>
      <c r="L18" s="14">
        <v>4</v>
      </c>
      <c r="M18" s="14"/>
      <c r="N18" s="14"/>
      <c r="O18" s="14"/>
      <c r="P18" s="91">
        <v>4.4999999999999998E-2</v>
      </c>
      <c r="Q18" s="92">
        <v>4</v>
      </c>
      <c r="R18" s="10"/>
      <c r="S18" s="10"/>
      <c r="T18" s="10"/>
      <c r="U18" s="10"/>
      <c r="V18" s="10"/>
    </row>
    <row r="19" spans="2:22" x14ac:dyDescent="0.25">
      <c r="B19" s="104"/>
      <c r="C19" s="16" t="s">
        <v>21</v>
      </c>
      <c r="D19" s="17">
        <v>0</v>
      </c>
      <c r="E19" s="17">
        <v>34</v>
      </c>
      <c r="F19" s="17">
        <v>16</v>
      </c>
      <c r="G19" s="22">
        <v>0.56799999999999995</v>
      </c>
      <c r="H19" s="17">
        <v>50</v>
      </c>
      <c r="I19" s="10"/>
      <c r="J19" s="104"/>
      <c r="K19" s="83" t="s">
        <v>170</v>
      </c>
      <c r="L19" s="14">
        <v>0</v>
      </c>
      <c r="M19" s="14">
        <v>9</v>
      </c>
      <c r="N19" s="14">
        <v>15</v>
      </c>
      <c r="O19" s="14">
        <v>26</v>
      </c>
      <c r="P19" s="91">
        <v>0.56799999999999995</v>
      </c>
      <c r="Q19" s="92">
        <f>SUM(M19:O19)</f>
        <v>50</v>
      </c>
      <c r="R19" s="10"/>
      <c r="S19" s="10"/>
      <c r="T19" s="10"/>
      <c r="U19" s="10"/>
      <c r="V19" s="10"/>
    </row>
    <row r="20" spans="2:22" x14ac:dyDescent="0.25">
      <c r="B20" s="104"/>
      <c r="C20" s="16" t="s">
        <v>22</v>
      </c>
      <c r="D20" s="17">
        <v>0</v>
      </c>
      <c r="E20" s="17">
        <v>22</v>
      </c>
      <c r="F20" s="17">
        <v>12</v>
      </c>
      <c r="G20" s="22">
        <v>0.38600000000000001</v>
      </c>
      <c r="H20" s="17">
        <v>34</v>
      </c>
      <c r="I20" s="10"/>
      <c r="J20" s="104"/>
      <c r="K20" s="106" t="s">
        <v>171</v>
      </c>
      <c r="L20" s="115">
        <v>0</v>
      </c>
      <c r="M20" s="115">
        <v>5</v>
      </c>
      <c r="N20" s="115">
        <v>12</v>
      </c>
      <c r="O20" s="115">
        <v>17</v>
      </c>
      <c r="P20" s="117">
        <v>0.38600000000000001</v>
      </c>
      <c r="Q20" s="119">
        <f>SUM(M20:O20)</f>
        <v>34</v>
      </c>
      <c r="R20" s="10"/>
      <c r="S20" s="10"/>
      <c r="T20" s="10"/>
      <c r="U20" s="10"/>
      <c r="V20" s="10"/>
    </row>
    <row r="21" spans="2:22" ht="15.75" customHeight="1" x14ac:dyDescent="0.25">
      <c r="B21" s="105" t="s">
        <v>7</v>
      </c>
      <c r="C21" s="105"/>
      <c r="D21" s="18">
        <v>4</v>
      </c>
      <c r="E21" s="18">
        <v>56</v>
      </c>
      <c r="F21" s="18">
        <v>28</v>
      </c>
      <c r="G21" s="23">
        <f>SUM(G18:G20)</f>
        <v>1</v>
      </c>
      <c r="H21" s="18">
        <v>88</v>
      </c>
      <c r="I21" s="10"/>
      <c r="J21" s="104"/>
      <c r="K21" s="107"/>
      <c r="L21" s="116"/>
      <c r="M21" s="116"/>
      <c r="N21" s="116"/>
      <c r="O21" s="116"/>
      <c r="P21" s="118"/>
      <c r="Q21" s="120"/>
      <c r="R21" s="10"/>
      <c r="S21" s="10"/>
      <c r="T21" s="10"/>
      <c r="U21" s="10"/>
      <c r="V21" s="10"/>
    </row>
    <row r="22" spans="2:22" x14ac:dyDescent="0.25">
      <c r="J22" s="109" t="s">
        <v>7</v>
      </c>
      <c r="K22" s="109"/>
      <c r="L22" s="18">
        <v>4</v>
      </c>
      <c r="M22" s="18">
        <f>SUM(M18:M21)</f>
        <v>14</v>
      </c>
      <c r="N22" s="18">
        <f>SUM(N18:N21)</f>
        <v>27</v>
      </c>
      <c r="O22" s="18">
        <f>SUM(O18:O21)</f>
        <v>43</v>
      </c>
      <c r="P22" s="90">
        <f>SUM(P18:P21)</f>
        <v>0.999</v>
      </c>
      <c r="Q22" s="18">
        <f>SUM(Q18:Q21)</f>
        <v>88</v>
      </c>
    </row>
    <row r="23" spans="2:22" x14ac:dyDescent="0.25"/>
  </sheetData>
  <mergeCells count="36">
    <mergeCell ref="J18:J21"/>
    <mergeCell ref="O20:O21"/>
    <mergeCell ref="P20:P21"/>
    <mergeCell ref="Q20:Q21"/>
    <mergeCell ref="J22:K22"/>
    <mergeCell ref="K20:K21"/>
    <mergeCell ref="L20:L21"/>
    <mergeCell ref="M20:M21"/>
    <mergeCell ref="N20:N21"/>
    <mergeCell ref="J9:J12"/>
    <mergeCell ref="J13:K13"/>
    <mergeCell ref="J16:K17"/>
    <mergeCell ref="P16:P17"/>
    <mergeCell ref="J6:Q6"/>
    <mergeCell ref="J7:K8"/>
    <mergeCell ref="L7:O7"/>
    <mergeCell ref="P7:P8"/>
    <mergeCell ref="Q7:Q8"/>
    <mergeCell ref="J15:Q15"/>
    <mergeCell ref="L16:O16"/>
    <mergeCell ref="Q16:Q17"/>
    <mergeCell ref="B18:B20"/>
    <mergeCell ref="B21:C21"/>
    <mergeCell ref="G7:G8"/>
    <mergeCell ref="G16:G17"/>
    <mergeCell ref="B2:H3"/>
    <mergeCell ref="B13:C13"/>
    <mergeCell ref="B15:H15"/>
    <mergeCell ref="B16:C17"/>
    <mergeCell ref="D16:F16"/>
    <mergeCell ref="H16:H17"/>
    <mergeCell ref="B6:H6"/>
    <mergeCell ref="B7:C8"/>
    <mergeCell ref="D7:F7"/>
    <mergeCell ref="H7:H8"/>
    <mergeCell ref="B9:B1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1"/>
  <sheetViews>
    <sheetView zoomScale="90" zoomScaleNormal="90" workbookViewId="0">
      <selection activeCell="A2" sqref="A2:Q3"/>
    </sheetView>
  </sheetViews>
  <sheetFormatPr defaultColWidth="0" defaultRowHeight="15" zeroHeight="1" x14ac:dyDescent="0.25"/>
  <cols>
    <col min="1" max="1" width="24.140625" customWidth="1"/>
    <col min="2" max="2" width="17.85546875" customWidth="1"/>
    <col min="3" max="3" width="16.7109375" customWidth="1"/>
    <col min="4" max="5" width="9.140625" customWidth="1"/>
    <col min="6" max="6" width="13" customWidth="1"/>
    <col min="7" max="7" width="9.140625" customWidth="1"/>
    <col min="8" max="8" width="4.85546875" customWidth="1"/>
    <col min="9" max="19" width="9.140625" customWidth="1"/>
    <col min="20" max="16384" width="9.140625" hidden="1"/>
  </cols>
  <sheetData>
    <row r="1" spans="1:17" x14ac:dyDescent="0.25"/>
    <row r="2" spans="1:17" ht="16.5" customHeight="1" x14ac:dyDescent="0.25">
      <c r="A2" s="128" t="s">
        <v>29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</row>
    <row r="3" spans="1:17" ht="15" customHeight="1" x14ac:dyDescent="0.25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</row>
    <row r="4" spans="1:17" ht="18.75" x14ac:dyDescent="0.3">
      <c r="B4" s="129" t="s">
        <v>60</v>
      </c>
      <c r="C4" s="129"/>
      <c r="D4" s="129"/>
      <c r="E4" s="129"/>
      <c r="J4" s="129" t="s">
        <v>61</v>
      </c>
      <c r="K4" s="129"/>
      <c r="L4" s="129"/>
      <c r="M4" s="129"/>
      <c r="N4" s="129"/>
    </row>
    <row r="5" spans="1:17" x14ac:dyDescent="0.25"/>
    <row r="6" spans="1:17" ht="15.75" thickBot="1" x14ac:dyDescent="0.3">
      <c r="A6" s="121" t="s">
        <v>36</v>
      </c>
      <c r="B6" s="121"/>
      <c r="C6" s="121"/>
      <c r="D6" s="121"/>
      <c r="E6" s="121"/>
      <c r="F6" s="121"/>
      <c r="G6" s="121"/>
      <c r="H6" s="24"/>
    </row>
    <row r="7" spans="1:17" x14ac:dyDescent="0.25">
      <c r="A7" s="122" t="s">
        <v>0</v>
      </c>
      <c r="B7" s="123"/>
      <c r="C7" s="123" t="s">
        <v>25</v>
      </c>
      <c r="D7" s="123"/>
      <c r="E7" s="123"/>
      <c r="F7" s="136" t="s">
        <v>59</v>
      </c>
      <c r="G7" s="126" t="s">
        <v>7</v>
      </c>
      <c r="H7" s="24"/>
    </row>
    <row r="8" spans="1:17" ht="15.75" thickBot="1" x14ac:dyDescent="0.3">
      <c r="A8" s="124"/>
      <c r="B8" s="125"/>
      <c r="C8" s="35" t="s">
        <v>47</v>
      </c>
      <c r="D8" s="35" t="s">
        <v>8</v>
      </c>
      <c r="E8" s="35" t="s">
        <v>9</v>
      </c>
      <c r="F8" s="137"/>
      <c r="G8" s="127"/>
      <c r="H8" s="24"/>
    </row>
    <row r="9" spans="1:17" x14ac:dyDescent="0.25">
      <c r="A9" s="130" t="s">
        <v>46</v>
      </c>
      <c r="B9" s="29"/>
      <c r="C9" s="34">
        <v>4</v>
      </c>
      <c r="D9" s="34">
        <v>0</v>
      </c>
      <c r="E9" s="34">
        <v>0</v>
      </c>
      <c r="F9" s="37">
        <v>4.4999999999999998E-2</v>
      </c>
      <c r="G9" s="38">
        <v>4</v>
      </c>
      <c r="H9" s="24"/>
    </row>
    <row r="10" spans="1:17" x14ac:dyDescent="0.25">
      <c r="A10" s="131"/>
      <c r="B10" s="25" t="s">
        <v>31</v>
      </c>
      <c r="C10" s="26">
        <v>0</v>
      </c>
      <c r="D10" s="26">
        <v>21</v>
      </c>
      <c r="E10" s="26">
        <v>8</v>
      </c>
      <c r="F10" s="39">
        <v>0.33</v>
      </c>
      <c r="G10" s="40">
        <v>29</v>
      </c>
      <c r="H10" s="24"/>
    </row>
    <row r="11" spans="1:17" x14ac:dyDescent="0.25">
      <c r="A11" s="131"/>
      <c r="B11" s="25" t="s">
        <v>32</v>
      </c>
      <c r="C11" s="26">
        <v>0</v>
      </c>
      <c r="D11" s="26">
        <v>9</v>
      </c>
      <c r="E11" s="26">
        <v>2</v>
      </c>
      <c r="F11" s="39">
        <v>0.125</v>
      </c>
      <c r="G11" s="40">
        <v>11</v>
      </c>
      <c r="H11" s="24"/>
    </row>
    <row r="12" spans="1:17" x14ac:dyDescent="0.25">
      <c r="A12" s="131"/>
      <c r="B12" s="25" t="s">
        <v>33</v>
      </c>
      <c r="C12" s="26">
        <v>0</v>
      </c>
      <c r="D12" s="26">
        <v>7</v>
      </c>
      <c r="E12" s="26">
        <v>4</v>
      </c>
      <c r="F12" s="39">
        <v>0.125</v>
      </c>
      <c r="G12" s="40">
        <v>11</v>
      </c>
      <c r="H12" s="24"/>
    </row>
    <row r="13" spans="1:17" x14ac:dyDescent="0.25">
      <c r="A13" s="131"/>
      <c r="B13" s="25" t="s">
        <v>34</v>
      </c>
      <c r="C13" s="26">
        <v>0</v>
      </c>
      <c r="D13" s="26">
        <v>17</v>
      </c>
      <c r="E13" s="26">
        <v>13</v>
      </c>
      <c r="F13" s="39">
        <v>0.34100000000000003</v>
      </c>
      <c r="G13" s="40">
        <v>30</v>
      </c>
      <c r="H13" s="24"/>
    </row>
    <row r="14" spans="1:17" x14ac:dyDescent="0.25">
      <c r="A14" s="131"/>
      <c r="B14" s="25" t="s">
        <v>35</v>
      </c>
      <c r="C14" s="26">
        <v>0</v>
      </c>
      <c r="D14" s="26">
        <v>2</v>
      </c>
      <c r="E14" s="26">
        <v>1</v>
      </c>
      <c r="F14" s="39">
        <v>3.4000000000000002E-2</v>
      </c>
      <c r="G14" s="40">
        <v>3</v>
      </c>
      <c r="H14" s="24"/>
    </row>
    <row r="15" spans="1:17" ht="15.75" thickBot="1" x14ac:dyDescent="0.3">
      <c r="A15" s="124" t="s">
        <v>7</v>
      </c>
      <c r="B15" s="125"/>
      <c r="C15" s="30">
        <v>4</v>
      </c>
      <c r="D15" s="30">
        <v>56</v>
      </c>
      <c r="E15" s="30">
        <v>28</v>
      </c>
      <c r="F15" s="31">
        <f>SUM(F9:F14)</f>
        <v>1</v>
      </c>
      <c r="G15" s="32">
        <v>88</v>
      </c>
      <c r="H15" s="24"/>
    </row>
    <row r="16" spans="1:17" x14ac:dyDescent="0.25">
      <c r="A16" s="24"/>
      <c r="B16" s="24"/>
      <c r="C16" s="24"/>
      <c r="D16" s="24"/>
      <c r="E16" s="24"/>
      <c r="F16" s="24"/>
      <c r="G16" s="24"/>
      <c r="H16" s="24"/>
    </row>
    <row r="17" spans="1:8" ht="34.5" customHeight="1" thickBot="1" x14ac:dyDescent="0.3">
      <c r="A17" s="121" t="s">
        <v>37</v>
      </c>
      <c r="B17" s="121"/>
      <c r="C17" s="121"/>
      <c r="D17" s="121"/>
      <c r="E17" s="121"/>
      <c r="F17" s="121"/>
      <c r="G17" s="121"/>
      <c r="H17" s="24"/>
    </row>
    <row r="18" spans="1:8" x14ac:dyDescent="0.25">
      <c r="A18" s="122" t="s">
        <v>0</v>
      </c>
      <c r="B18" s="123"/>
      <c r="C18" s="123" t="s">
        <v>25</v>
      </c>
      <c r="D18" s="123"/>
      <c r="E18" s="123"/>
      <c r="F18" s="136" t="s">
        <v>59</v>
      </c>
      <c r="G18" s="126" t="s">
        <v>7</v>
      </c>
      <c r="H18" s="24"/>
    </row>
    <row r="19" spans="1:8" ht="15.75" thickBot="1" x14ac:dyDescent="0.3">
      <c r="A19" s="124"/>
      <c r="B19" s="125"/>
      <c r="C19" s="35" t="s">
        <v>47</v>
      </c>
      <c r="D19" s="35" t="s">
        <v>8</v>
      </c>
      <c r="E19" s="35" t="s">
        <v>9</v>
      </c>
      <c r="F19" s="137"/>
      <c r="G19" s="127"/>
      <c r="H19" s="24"/>
    </row>
    <row r="20" spans="1:8" x14ac:dyDescent="0.25">
      <c r="A20" s="130" t="s">
        <v>38</v>
      </c>
      <c r="B20" s="29" t="s">
        <v>0</v>
      </c>
      <c r="C20" s="34">
        <v>4</v>
      </c>
      <c r="D20" s="34">
        <v>0</v>
      </c>
      <c r="E20" s="34">
        <v>0</v>
      </c>
      <c r="F20" s="37">
        <v>4.4999999999999998E-2</v>
      </c>
      <c r="G20" s="38">
        <v>4</v>
      </c>
      <c r="H20" s="24"/>
    </row>
    <row r="21" spans="1:8" x14ac:dyDescent="0.25">
      <c r="A21" s="131"/>
      <c r="B21" s="25" t="s">
        <v>31</v>
      </c>
      <c r="C21" s="26">
        <v>0</v>
      </c>
      <c r="D21" s="26">
        <v>24</v>
      </c>
      <c r="E21" s="26">
        <v>8</v>
      </c>
      <c r="F21" s="39">
        <v>0.36399999999999999</v>
      </c>
      <c r="G21" s="40">
        <v>32</v>
      </c>
      <c r="H21" s="24"/>
    </row>
    <row r="22" spans="1:8" x14ac:dyDescent="0.25">
      <c r="A22" s="131"/>
      <c r="B22" s="25" t="s">
        <v>32</v>
      </c>
      <c r="C22" s="26">
        <v>0</v>
      </c>
      <c r="D22" s="26">
        <v>10</v>
      </c>
      <c r="E22" s="26">
        <v>3</v>
      </c>
      <c r="F22" s="39">
        <v>0.14799999999999999</v>
      </c>
      <c r="G22" s="40">
        <v>13</v>
      </c>
      <c r="H22" s="24"/>
    </row>
    <row r="23" spans="1:8" x14ac:dyDescent="0.25">
      <c r="A23" s="131"/>
      <c r="B23" s="25" t="s">
        <v>33</v>
      </c>
      <c r="C23" s="26">
        <v>0</v>
      </c>
      <c r="D23" s="26">
        <v>8</v>
      </c>
      <c r="E23" s="26">
        <v>5</v>
      </c>
      <c r="F23" s="39">
        <v>0.14799999999999999</v>
      </c>
      <c r="G23" s="40">
        <v>13</v>
      </c>
      <c r="H23" s="24"/>
    </row>
    <row r="24" spans="1:8" x14ac:dyDescent="0.25">
      <c r="A24" s="131"/>
      <c r="B24" s="25" t="s">
        <v>34</v>
      </c>
      <c r="C24" s="26">
        <v>0</v>
      </c>
      <c r="D24" s="26">
        <v>13</v>
      </c>
      <c r="E24" s="26">
        <v>9</v>
      </c>
      <c r="F24" s="39">
        <v>0.25</v>
      </c>
      <c r="G24" s="40">
        <v>22</v>
      </c>
      <c r="H24" s="24"/>
    </row>
    <row r="25" spans="1:8" x14ac:dyDescent="0.25">
      <c r="A25" s="131"/>
      <c r="B25" s="25" t="s">
        <v>35</v>
      </c>
      <c r="C25" s="26">
        <v>0</v>
      </c>
      <c r="D25" s="26">
        <v>1</v>
      </c>
      <c r="E25" s="26">
        <v>3</v>
      </c>
      <c r="F25" s="39">
        <v>4.4999999999999998E-2</v>
      </c>
      <c r="G25" s="40">
        <v>4</v>
      </c>
      <c r="H25" s="24"/>
    </row>
    <row r="26" spans="1:8" ht="15.75" thickBot="1" x14ac:dyDescent="0.3">
      <c r="A26" s="124" t="s">
        <v>7</v>
      </c>
      <c r="B26" s="125"/>
      <c r="C26" s="30">
        <v>4</v>
      </c>
      <c r="D26" s="30">
        <v>56</v>
      </c>
      <c r="E26" s="30">
        <v>28</v>
      </c>
      <c r="F26" s="31">
        <f>SUM(F20:F25)</f>
        <v>1</v>
      </c>
      <c r="G26" s="32">
        <v>88</v>
      </c>
      <c r="H26" s="24"/>
    </row>
    <row r="27" spans="1:8" x14ac:dyDescent="0.25">
      <c r="A27" s="24"/>
      <c r="B27" s="24"/>
      <c r="C27" s="24"/>
      <c r="D27" s="24"/>
      <c r="E27" s="24"/>
      <c r="F27" s="24"/>
      <c r="G27" s="24"/>
      <c r="H27" s="24"/>
    </row>
    <row r="28" spans="1:8" ht="36.75" customHeight="1" thickBot="1" x14ac:dyDescent="0.3">
      <c r="A28" s="121" t="s">
        <v>39</v>
      </c>
      <c r="B28" s="121"/>
      <c r="C28" s="121"/>
      <c r="D28" s="121"/>
      <c r="E28" s="121"/>
      <c r="F28" s="121"/>
      <c r="G28" s="121"/>
      <c r="H28" s="24"/>
    </row>
    <row r="29" spans="1:8" x14ac:dyDescent="0.25">
      <c r="A29" s="122" t="s">
        <v>0</v>
      </c>
      <c r="B29" s="123"/>
      <c r="C29" s="123" t="s">
        <v>25</v>
      </c>
      <c r="D29" s="123"/>
      <c r="E29" s="123"/>
      <c r="F29" s="136" t="s">
        <v>59</v>
      </c>
      <c r="G29" s="126" t="s">
        <v>7</v>
      </c>
      <c r="H29" s="24"/>
    </row>
    <row r="30" spans="1:8" ht="15.75" thickBot="1" x14ac:dyDescent="0.3">
      <c r="A30" s="124"/>
      <c r="B30" s="125"/>
      <c r="C30" s="35" t="s">
        <v>47</v>
      </c>
      <c r="D30" s="35" t="s">
        <v>8</v>
      </c>
      <c r="E30" s="35" t="s">
        <v>9</v>
      </c>
      <c r="F30" s="137"/>
      <c r="G30" s="127"/>
      <c r="H30" s="24"/>
    </row>
    <row r="31" spans="1:8" x14ac:dyDescent="0.25">
      <c r="A31" s="130" t="s">
        <v>41</v>
      </c>
      <c r="B31" s="29" t="s">
        <v>0</v>
      </c>
      <c r="C31" s="34">
        <v>4</v>
      </c>
      <c r="D31" s="34">
        <v>0</v>
      </c>
      <c r="E31" s="34">
        <v>0</v>
      </c>
      <c r="F31" s="37">
        <v>4.4999999999999998E-2</v>
      </c>
      <c r="G31" s="38">
        <v>4</v>
      </c>
      <c r="H31" s="24"/>
    </row>
    <row r="32" spans="1:8" x14ac:dyDescent="0.25">
      <c r="A32" s="131"/>
      <c r="B32" s="25" t="s">
        <v>31</v>
      </c>
      <c r="C32" s="26">
        <v>0</v>
      </c>
      <c r="D32" s="26">
        <v>11</v>
      </c>
      <c r="E32" s="26">
        <v>5</v>
      </c>
      <c r="F32" s="39">
        <v>0.182</v>
      </c>
      <c r="G32" s="40">
        <v>16</v>
      </c>
      <c r="H32" s="24"/>
    </row>
    <row r="33" spans="1:8" x14ac:dyDescent="0.25">
      <c r="A33" s="131"/>
      <c r="B33" s="25" t="s">
        <v>32</v>
      </c>
      <c r="C33" s="26">
        <v>0</v>
      </c>
      <c r="D33" s="26">
        <v>9</v>
      </c>
      <c r="E33" s="26">
        <v>7</v>
      </c>
      <c r="F33" s="39">
        <v>0.182</v>
      </c>
      <c r="G33" s="40">
        <v>16</v>
      </c>
      <c r="H33" s="24"/>
    </row>
    <row r="34" spans="1:8" x14ac:dyDescent="0.25">
      <c r="A34" s="131"/>
      <c r="B34" s="25" t="s">
        <v>33</v>
      </c>
      <c r="C34" s="26">
        <v>0</v>
      </c>
      <c r="D34" s="26">
        <v>10</v>
      </c>
      <c r="E34" s="26">
        <v>0</v>
      </c>
      <c r="F34" s="39">
        <v>0.114</v>
      </c>
      <c r="G34" s="40">
        <v>10</v>
      </c>
      <c r="H34" s="24"/>
    </row>
    <row r="35" spans="1:8" x14ac:dyDescent="0.25">
      <c r="A35" s="131"/>
      <c r="B35" s="25" t="s">
        <v>34</v>
      </c>
      <c r="C35" s="26">
        <v>0</v>
      </c>
      <c r="D35" s="26">
        <v>13</v>
      </c>
      <c r="E35" s="26">
        <v>7</v>
      </c>
      <c r="F35" s="39">
        <v>0.22700000000000001</v>
      </c>
      <c r="G35" s="40">
        <v>20</v>
      </c>
      <c r="H35" s="24"/>
    </row>
    <row r="36" spans="1:8" x14ac:dyDescent="0.25">
      <c r="A36" s="131"/>
      <c r="B36" s="25" t="s">
        <v>35</v>
      </c>
      <c r="C36" s="26">
        <v>0</v>
      </c>
      <c r="D36" s="26">
        <v>13</v>
      </c>
      <c r="E36" s="26">
        <v>9</v>
      </c>
      <c r="F36" s="39">
        <v>0.25</v>
      </c>
      <c r="G36" s="40">
        <v>22</v>
      </c>
      <c r="H36" s="24"/>
    </row>
    <row r="37" spans="1:8" ht="15.75" thickBot="1" x14ac:dyDescent="0.3">
      <c r="A37" s="124" t="s">
        <v>7</v>
      </c>
      <c r="B37" s="125"/>
      <c r="C37" s="30">
        <v>4</v>
      </c>
      <c r="D37" s="30">
        <v>56</v>
      </c>
      <c r="E37" s="30">
        <v>28</v>
      </c>
      <c r="F37" s="31">
        <f>SUM(F31:F36)</f>
        <v>1</v>
      </c>
      <c r="G37" s="32">
        <v>88</v>
      </c>
      <c r="H37" s="24"/>
    </row>
    <row r="38" spans="1:8" x14ac:dyDescent="0.25">
      <c r="A38" s="24"/>
      <c r="B38" s="24"/>
      <c r="C38" s="24"/>
      <c r="D38" s="24"/>
      <c r="E38" s="24"/>
      <c r="F38" s="24"/>
      <c r="G38" s="24"/>
      <c r="H38" s="24"/>
    </row>
    <row r="39" spans="1:8" ht="29.25" customHeight="1" thickBot="1" x14ac:dyDescent="0.3">
      <c r="A39" s="121" t="s">
        <v>40</v>
      </c>
      <c r="B39" s="121"/>
      <c r="C39" s="121"/>
      <c r="D39" s="121"/>
      <c r="E39" s="121"/>
      <c r="F39" s="121"/>
      <c r="G39" s="121"/>
      <c r="H39" s="24"/>
    </row>
    <row r="40" spans="1:8" x14ac:dyDescent="0.25">
      <c r="A40" s="122" t="s">
        <v>0</v>
      </c>
      <c r="B40" s="123"/>
      <c r="C40" s="123" t="s">
        <v>25</v>
      </c>
      <c r="D40" s="123"/>
      <c r="E40" s="123"/>
      <c r="F40" s="136" t="s">
        <v>59</v>
      </c>
      <c r="G40" s="126" t="s">
        <v>7</v>
      </c>
      <c r="H40" s="24"/>
    </row>
    <row r="41" spans="1:8" ht="15.75" thickBot="1" x14ac:dyDescent="0.3">
      <c r="A41" s="124"/>
      <c r="B41" s="125"/>
      <c r="C41" s="35" t="s">
        <v>47</v>
      </c>
      <c r="D41" s="35" t="s">
        <v>8</v>
      </c>
      <c r="E41" s="35" t="s">
        <v>9</v>
      </c>
      <c r="F41" s="137"/>
      <c r="G41" s="127"/>
      <c r="H41" s="24"/>
    </row>
    <row r="42" spans="1:8" x14ac:dyDescent="0.25">
      <c r="A42" s="130" t="s">
        <v>42</v>
      </c>
      <c r="B42" s="29" t="s">
        <v>0</v>
      </c>
      <c r="C42" s="34">
        <v>4</v>
      </c>
      <c r="D42" s="34">
        <v>0</v>
      </c>
      <c r="E42" s="34">
        <v>0</v>
      </c>
      <c r="F42" s="37">
        <v>4.4999999999999998E-2</v>
      </c>
      <c r="G42" s="38">
        <v>4</v>
      </c>
      <c r="H42" s="24"/>
    </row>
    <row r="43" spans="1:8" x14ac:dyDescent="0.25">
      <c r="A43" s="131"/>
      <c r="B43" s="25" t="s">
        <v>31</v>
      </c>
      <c r="C43" s="26">
        <v>0</v>
      </c>
      <c r="D43" s="26">
        <v>19</v>
      </c>
      <c r="E43" s="26">
        <v>6</v>
      </c>
      <c r="F43" s="39">
        <v>0.28399999999999997</v>
      </c>
      <c r="G43" s="40">
        <v>25</v>
      </c>
      <c r="H43" s="24"/>
    </row>
    <row r="44" spans="1:8" x14ac:dyDescent="0.25">
      <c r="A44" s="131"/>
      <c r="B44" s="25" t="s">
        <v>32</v>
      </c>
      <c r="C44" s="26">
        <v>0</v>
      </c>
      <c r="D44" s="26">
        <v>5</v>
      </c>
      <c r="E44" s="26">
        <v>6</v>
      </c>
      <c r="F44" s="39">
        <v>0.125</v>
      </c>
      <c r="G44" s="40">
        <v>11</v>
      </c>
      <c r="H44" s="24"/>
    </row>
    <row r="45" spans="1:8" x14ac:dyDescent="0.25">
      <c r="A45" s="131"/>
      <c r="B45" s="25" t="s">
        <v>33</v>
      </c>
      <c r="C45" s="26">
        <v>0</v>
      </c>
      <c r="D45" s="26">
        <v>11</v>
      </c>
      <c r="E45" s="26">
        <v>2</v>
      </c>
      <c r="F45" s="39">
        <v>0.14799999999999999</v>
      </c>
      <c r="G45" s="40">
        <v>13</v>
      </c>
      <c r="H45" s="24"/>
    </row>
    <row r="46" spans="1:8" x14ac:dyDescent="0.25">
      <c r="A46" s="131"/>
      <c r="B46" s="25" t="s">
        <v>34</v>
      </c>
      <c r="C46" s="26">
        <v>0</v>
      </c>
      <c r="D46" s="26">
        <v>15</v>
      </c>
      <c r="E46" s="26">
        <v>10</v>
      </c>
      <c r="F46" s="39">
        <v>0.28399999999999997</v>
      </c>
      <c r="G46" s="40">
        <v>25</v>
      </c>
      <c r="H46" s="24"/>
    </row>
    <row r="47" spans="1:8" x14ac:dyDescent="0.25">
      <c r="A47" s="131"/>
      <c r="B47" s="25" t="s">
        <v>35</v>
      </c>
      <c r="C47" s="26">
        <v>0</v>
      </c>
      <c r="D47" s="26">
        <v>6</v>
      </c>
      <c r="E47" s="26">
        <v>4</v>
      </c>
      <c r="F47" s="39">
        <v>0.114</v>
      </c>
      <c r="G47" s="40">
        <v>10</v>
      </c>
      <c r="H47" s="24"/>
    </row>
    <row r="48" spans="1:8" ht="15.75" thickBot="1" x14ac:dyDescent="0.3">
      <c r="A48" s="124" t="s">
        <v>7</v>
      </c>
      <c r="B48" s="125"/>
      <c r="C48" s="30">
        <v>4</v>
      </c>
      <c r="D48" s="30">
        <v>56</v>
      </c>
      <c r="E48" s="30">
        <v>28</v>
      </c>
      <c r="F48" s="31">
        <f>SUM(F42:F47)</f>
        <v>0.99999999999999989</v>
      </c>
      <c r="G48" s="32">
        <v>88</v>
      </c>
      <c r="H48" s="24"/>
    </row>
    <row r="49" spans="1:8" x14ac:dyDescent="0.25">
      <c r="A49" s="24"/>
      <c r="B49" s="24"/>
      <c r="C49" s="24"/>
      <c r="D49" s="24"/>
      <c r="E49" s="24"/>
      <c r="F49" s="24"/>
      <c r="G49" s="24"/>
      <c r="H49" s="24"/>
    </row>
    <row r="50" spans="1:8" ht="15.75" thickBot="1" x14ac:dyDescent="0.3">
      <c r="A50" s="121" t="s">
        <v>43</v>
      </c>
      <c r="B50" s="121"/>
      <c r="C50" s="121"/>
      <c r="D50" s="121"/>
      <c r="E50" s="121"/>
      <c r="F50" s="121"/>
      <c r="G50" s="121"/>
      <c r="H50" s="24"/>
    </row>
    <row r="51" spans="1:8" x14ac:dyDescent="0.25">
      <c r="A51" s="122" t="s">
        <v>0</v>
      </c>
      <c r="B51" s="123"/>
      <c r="C51" s="123" t="s">
        <v>25</v>
      </c>
      <c r="D51" s="123"/>
      <c r="E51" s="123"/>
      <c r="F51" s="136" t="s">
        <v>59</v>
      </c>
      <c r="G51" s="126" t="s">
        <v>7</v>
      </c>
      <c r="H51" s="24"/>
    </row>
    <row r="52" spans="1:8" ht="15.75" thickBot="1" x14ac:dyDescent="0.3">
      <c r="A52" s="124"/>
      <c r="B52" s="125"/>
      <c r="C52" s="35" t="s">
        <v>47</v>
      </c>
      <c r="D52" s="35" t="s">
        <v>8</v>
      </c>
      <c r="E52" s="35" t="s">
        <v>9</v>
      </c>
      <c r="F52" s="137"/>
      <c r="G52" s="127"/>
      <c r="H52" s="24"/>
    </row>
    <row r="53" spans="1:8" x14ac:dyDescent="0.25">
      <c r="A53" s="130" t="s">
        <v>49</v>
      </c>
      <c r="B53" s="29" t="s">
        <v>0</v>
      </c>
      <c r="C53" s="34">
        <v>4</v>
      </c>
      <c r="D53" s="34">
        <v>0</v>
      </c>
      <c r="E53" s="34">
        <v>0</v>
      </c>
      <c r="F53" s="37">
        <v>4.4999999999999998E-2</v>
      </c>
      <c r="G53" s="38">
        <v>4</v>
      </c>
      <c r="H53" s="24"/>
    </row>
    <row r="54" spans="1:8" x14ac:dyDescent="0.25">
      <c r="A54" s="131"/>
      <c r="B54" s="25" t="s">
        <v>31</v>
      </c>
      <c r="C54" s="26">
        <v>0</v>
      </c>
      <c r="D54" s="26">
        <v>12</v>
      </c>
      <c r="E54" s="26">
        <v>10</v>
      </c>
      <c r="F54" s="39">
        <v>0.25</v>
      </c>
      <c r="G54" s="40">
        <v>22</v>
      </c>
      <c r="H54" s="24"/>
    </row>
    <row r="55" spans="1:8" x14ac:dyDescent="0.25">
      <c r="A55" s="131"/>
      <c r="B55" s="25" t="s">
        <v>32</v>
      </c>
      <c r="C55" s="26">
        <v>0</v>
      </c>
      <c r="D55" s="26">
        <v>6</v>
      </c>
      <c r="E55" s="26">
        <v>2</v>
      </c>
      <c r="F55" s="39">
        <v>9.0999999999999998E-2</v>
      </c>
      <c r="G55" s="40">
        <v>8</v>
      </c>
      <c r="H55" s="24"/>
    </row>
    <row r="56" spans="1:8" x14ac:dyDescent="0.25">
      <c r="A56" s="131"/>
      <c r="B56" s="25" t="s">
        <v>33</v>
      </c>
      <c r="C56" s="26">
        <v>0</v>
      </c>
      <c r="D56" s="26">
        <v>16</v>
      </c>
      <c r="E56" s="26">
        <v>6</v>
      </c>
      <c r="F56" s="39">
        <v>0.25</v>
      </c>
      <c r="G56" s="40">
        <v>22</v>
      </c>
      <c r="H56" s="24"/>
    </row>
    <row r="57" spans="1:8" x14ac:dyDescent="0.25">
      <c r="A57" s="131"/>
      <c r="B57" s="25" t="s">
        <v>34</v>
      </c>
      <c r="C57" s="26">
        <v>0</v>
      </c>
      <c r="D57" s="26">
        <v>20</v>
      </c>
      <c r="E57" s="26">
        <v>7</v>
      </c>
      <c r="F57" s="39">
        <v>0.307</v>
      </c>
      <c r="G57" s="40">
        <v>27</v>
      </c>
      <c r="H57" s="24"/>
    </row>
    <row r="58" spans="1:8" x14ac:dyDescent="0.25">
      <c r="A58" s="131"/>
      <c r="B58" s="25" t="s">
        <v>35</v>
      </c>
      <c r="C58" s="26">
        <v>0</v>
      </c>
      <c r="D58" s="26">
        <v>2</v>
      </c>
      <c r="E58" s="26">
        <v>3</v>
      </c>
      <c r="F58" s="39">
        <v>5.7000000000000002E-2</v>
      </c>
      <c r="G58" s="40">
        <v>5</v>
      </c>
      <c r="H58" s="24"/>
    </row>
    <row r="59" spans="1:8" ht="15.75" thickBot="1" x14ac:dyDescent="0.3">
      <c r="A59" s="132" t="s">
        <v>7</v>
      </c>
      <c r="B59" s="133"/>
      <c r="C59" s="27">
        <v>4</v>
      </c>
      <c r="D59" s="27">
        <v>56</v>
      </c>
      <c r="E59" s="27">
        <v>28</v>
      </c>
      <c r="F59" s="33">
        <f>SUM(F53:F58)</f>
        <v>1</v>
      </c>
      <c r="G59" s="28">
        <v>88</v>
      </c>
      <c r="H59" s="24"/>
    </row>
    <row r="60" spans="1:8" x14ac:dyDescent="0.25">
      <c r="A60" s="24"/>
      <c r="B60" s="24"/>
      <c r="C60" s="24"/>
      <c r="D60" s="24"/>
      <c r="E60" s="24"/>
      <c r="F60" s="24"/>
      <c r="G60" s="24"/>
      <c r="H60" s="24"/>
    </row>
    <row r="61" spans="1:8" ht="27" customHeight="1" thickBot="1" x14ac:dyDescent="0.3">
      <c r="A61" s="121" t="s">
        <v>44</v>
      </c>
      <c r="B61" s="121"/>
      <c r="C61" s="121"/>
      <c r="D61" s="121"/>
      <c r="E61" s="121"/>
      <c r="F61" s="121"/>
      <c r="G61" s="121"/>
      <c r="H61" s="24"/>
    </row>
    <row r="62" spans="1:8" x14ac:dyDescent="0.25">
      <c r="A62" s="122" t="s">
        <v>0</v>
      </c>
      <c r="B62" s="123"/>
      <c r="C62" s="123" t="s">
        <v>25</v>
      </c>
      <c r="D62" s="123"/>
      <c r="E62" s="123"/>
      <c r="F62" s="136" t="s">
        <v>59</v>
      </c>
      <c r="G62" s="126" t="s">
        <v>7</v>
      </c>
      <c r="H62" s="24"/>
    </row>
    <row r="63" spans="1:8" ht="15.75" thickBot="1" x14ac:dyDescent="0.3">
      <c r="A63" s="124"/>
      <c r="B63" s="125"/>
      <c r="C63" s="35" t="s">
        <v>47</v>
      </c>
      <c r="D63" s="35" t="s">
        <v>8</v>
      </c>
      <c r="E63" s="35" t="s">
        <v>9</v>
      </c>
      <c r="F63" s="137"/>
      <c r="G63" s="127"/>
      <c r="H63" s="24"/>
    </row>
    <row r="64" spans="1:8" x14ac:dyDescent="0.25">
      <c r="A64" s="130" t="s">
        <v>45</v>
      </c>
      <c r="B64" s="29" t="s">
        <v>0</v>
      </c>
      <c r="C64" s="34">
        <v>4</v>
      </c>
      <c r="D64" s="34">
        <v>0</v>
      </c>
      <c r="E64" s="34">
        <v>0</v>
      </c>
      <c r="F64" s="37">
        <v>4.4999999999999998E-2</v>
      </c>
      <c r="G64" s="38">
        <v>4</v>
      </c>
      <c r="H64" s="24"/>
    </row>
    <row r="65" spans="1:8" x14ac:dyDescent="0.25">
      <c r="A65" s="131"/>
      <c r="B65" s="25" t="s">
        <v>31</v>
      </c>
      <c r="C65" s="26">
        <v>0</v>
      </c>
      <c r="D65" s="26">
        <v>18</v>
      </c>
      <c r="E65" s="26">
        <v>5</v>
      </c>
      <c r="F65" s="39">
        <v>0.26100000000000001</v>
      </c>
      <c r="G65" s="40">
        <v>23</v>
      </c>
      <c r="H65" s="24"/>
    </row>
    <row r="66" spans="1:8" x14ac:dyDescent="0.25">
      <c r="A66" s="131"/>
      <c r="B66" s="25" t="s">
        <v>32</v>
      </c>
      <c r="C66" s="26">
        <v>0</v>
      </c>
      <c r="D66" s="26">
        <v>6</v>
      </c>
      <c r="E66" s="26">
        <v>7</v>
      </c>
      <c r="F66" s="39">
        <v>0.14799999999999999</v>
      </c>
      <c r="G66" s="40">
        <v>13</v>
      </c>
      <c r="H66" s="24"/>
    </row>
    <row r="67" spans="1:8" x14ac:dyDescent="0.25">
      <c r="A67" s="131"/>
      <c r="B67" s="25" t="s">
        <v>33</v>
      </c>
      <c r="C67" s="26">
        <v>0</v>
      </c>
      <c r="D67" s="26">
        <v>3</v>
      </c>
      <c r="E67" s="26">
        <v>0</v>
      </c>
      <c r="F67" s="39">
        <v>3.4000000000000002E-2</v>
      </c>
      <c r="G67" s="40">
        <v>3</v>
      </c>
      <c r="H67" s="24"/>
    </row>
    <row r="68" spans="1:8" x14ac:dyDescent="0.25">
      <c r="A68" s="131"/>
      <c r="B68" s="25" t="s">
        <v>34</v>
      </c>
      <c r="C68" s="26">
        <v>0</v>
      </c>
      <c r="D68" s="26">
        <v>13</v>
      </c>
      <c r="E68" s="26">
        <v>6</v>
      </c>
      <c r="F68" s="39">
        <v>0.216</v>
      </c>
      <c r="G68" s="40">
        <v>19</v>
      </c>
      <c r="H68" s="24"/>
    </row>
    <row r="69" spans="1:8" x14ac:dyDescent="0.25">
      <c r="A69" s="131"/>
      <c r="B69" s="25" t="s">
        <v>35</v>
      </c>
      <c r="C69" s="26">
        <v>0</v>
      </c>
      <c r="D69" s="26">
        <v>16</v>
      </c>
      <c r="E69" s="26">
        <v>10</v>
      </c>
      <c r="F69" s="39">
        <v>0.29599999999999999</v>
      </c>
      <c r="G69" s="40">
        <v>26</v>
      </c>
      <c r="H69" s="24"/>
    </row>
    <row r="70" spans="1:8" ht="15.75" thickBot="1" x14ac:dyDescent="0.3">
      <c r="A70" s="124" t="s">
        <v>7</v>
      </c>
      <c r="B70" s="125"/>
      <c r="C70" s="30">
        <v>4</v>
      </c>
      <c r="D70" s="30">
        <v>56</v>
      </c>
      <c r="E70" s="30">
        <v>28</v>
      </c>
      <c r="F70" s="31">
        <f>SUM(F64:F69)</f>
        <v>1</v>
      </c>
      <c r="G70" s="32">
        <v>88</v>
      </c>
      <c r="H70" s="24"/>
    </row>
    <row r="71" spans="1:8" x14ac:dyDescent="0.25"/>
    <row r="72" spans="1:8" ht="15.75" thickBot="1" x14ac:dyDescent="0.3">
      <c r="A72" s="121" t="s">
        <v>50</v>
      </c>
      <c r="B72" s="121"/>
      <c r="C72" s="121"/>
      <c r="D72" s="121"/>
      <c r="E72" s="121"/>
      <c r="F72" s="121"/>
      <c r="G72" s="121"/>
      <c r="H72" s="24"/>
    </row>
    <row r="73" spans="1:8" x14ac:dyDescent="0.25">
      <c r="A73" s="122" t="s">
        <v>0</v>
      </c>
      <c r="B73" s="123"/>
      <c r="C73" s="123" t="s">
        <v>25</v>
      </c>
      <c r="D73" s="123"/>
      <c r="E73" s="123"/>
      <c r="F73" s="136" t="s">
        <v>59</v>
      </c>
      <c r="G73" s="126" t="s">
        <v>7</v>
      </c>
      <c r="H73" s="24"/>
    </row>
    <row r="74" spans="1:8" ht="15.75" thickBot="1" x14ac:dyDescent="0.3">
      <c r="A74" s="134"/>
      <c r="B74" s="135"/>
      <c r="C74" s="35" t="s">
        <v>47</v>
      </c>
      <c r="D74" s="35" t="s">
        <v>8</v>
      </c>
      <c r="E74" s="35" t="s">
        <v>9</v>
      </c>
      <c r="F74" s="137"/>
      <c r="G74" s="127"/>
      <c r="H74" s="24"/>
    </row>
    <row r="75" spans="1:8" x14ac:dyDescent="0.25">
      <c r="A75" s="122" t="s">
        <v>51</v>
      </c>
      <c r="B75" s="36" t="s">
        <v>0</v>
      </c>
      <c r="C75" s="34">
        <v>4</v>
      </c>
      <c r="D75" s="34">
        <v>0</v>
      </c>
      <c r="E75" s="34">
        <v>0</v>
      </c>
      <c r="F75" s="37">
        <v>4.4999999999999998E-2</v>
      </c>
      <c r="G75" s="38">
        <v>4</v>
      </c>
      <c r="H75" s="24"/>
    </row>
    <row r="76" spans="1:8" x14ac:dyDescent="0.25">
      <c r="A76" s="131"/>
      <c r="B76" s="25" t="s">
        <v>31</v>
      </c>
      <c r="C76" s="26">
        <v>0</v>
      </c>
      <c r="D76" s="26">
        <v>19</v>
      </c>
      <c r="E76" s="26">
        <v>8</v>
      </c>
      <c r="F76" s="39">
        <v>0.308</v>
      </c>
      <c r="G76" s="40">
        <v>27</v>
      </c>
      <c r="H76" s="24"/>
    </row>
    <row r="77" spans="1:8" x14ac:dyDescent="0.25">
      <c r="A77" s="131"/>
      <c r="B77" s="25" t="s">
        <v>32</v>
      </c>
      <c r="C77" s="26">
        <v>0</v>
      </c>
      <c r="D77" s="26">
        <v>8</v>
      </c>
      <c r="E77" s="26">
        <v>5</v>
      </c>
      <c r="F77" s="39">
        <v>0.14799999999999999</v>
      </c>
      <c r="G77" s="40">
        <v>13</v>
      </c>
      <c r="H77" s="24"/>
    </row>
    <row r="78" spans="1:8" x14ac:dyDescent="0.25">
      <c r="A78" s="131"/>
      <c r="B78" s="25" t="s">
        <v>33</v>
      </c>
      <c r="C78" s="26">
        <v>0</v>
      </c>
      <c r="D78" s="26">
        <v>10</v>
      </c>
      <c r="E78" s="26">
        <v>4</v>
      </c>
      <c r="F78" s="39">
        <v>0.159</v>
      </c>
      <c r="G78" s="40">
        <v>14</v>
      </c>
      <c r="H78" s="24"/>
    </row>
    <row r="79" spans="1:8" x14ac:dyDescent="0.25">
      <c r="A79" s="131"/>
      <c r="B79" s="25" t="s">
        <v>34</v>
      </c>
      <c r="C79" s="26">
        <v>0</v>
      </c>
      <c r="D79" s="26">
        <v>9</v>
      </c>
      <c r="E79" s="26">
        <v>6</v>
      </c>
      <c r="F79" s="39">
        <v>0.17</v>
      </c>
      <c r="G79" s="40">
        <v>15</v>
      </c>
      <c r="H79" s="24"/>
    </row>
    <row r="80" spans="1:8" x14ac:dyDescent="0.25">
      <c r="A80" s="131"/>
      <c r="B80" s="25" t="s">
        <v>35</v>
      </c>
      <c r="C80" s="26">
        <v>0</v>
      </c>
      <c r="D80" s="26">
        <v>10</v>
      </c>
      <c r="E80" s="26">
        <v>5</v>
      </c>
      <c r="F80" s="39">
        <v>0.17</v>
      </c>
      <c r="G80" s="40">
        <v>15</v>
      </c>
      <c r="H80" s="24"/>
    </row>
    <row r="81" spans="1:8" ht="15.75" thickBot="1" x14ac:dyDescent="0.3">
      <c r="A81" s="124" t="s">
        <v>7</v>
      </c>
      <c r="B81" s="125"/>
      <c r="C81" s="30">
        <v>4</v>
      </c>
      <c r="D81" s="30">
        <v>56</v>
      </c>
      <c r="E81" s="30">
        <v>28</v>
      </c>
      <c r="F81" s="31">
        <f>SUM(F75:F80)</f>
        <v>1</v>
      </c>
      <c r="G81" s="32">
        <v>88</v>
      </c>
      <c r="H81" s="24"/>
    </row>
    <row r="82" spans="1:8" x14ac:dyDescent="0.25">
      <c r="A82" s="24"/>
      <c r="B82" s="24"/>
      <c r="C82" s="24"/>
      <c r="D82" s="24"/>
      <c r="E82" s="24"/>
      <c r="F82" s="24"/>
      <c r="G82" s="24"/>
      <c r="H82" s="24"/>
    </row>
    <row r="83" spans="1:8" ht="36" customHeight="1" thickBot="1" x14ac:dyDescent="0.3">
      <c r="A83" s="121" t="s">
        <v>48</v>
      </c>
      <c r="B83" s="121"/>
      <c r="C83" s="121"/>
      <c r="D83" s="121"/>
      <c r="E83" s="121"/>
      <c r="F83" s="121"/>
      <c r="G83" s="121"/>
      <c r="H83" s="24"/>
    </row>
    <row r="84" spans="1:8" x14ac:dyDescent="0.25">
      <c r="A84" s="122" t="s">
        <v>0</v>
      </c>
      <c r="B84" s="123"/>
      <c r="C84" s="123" t="s">
        <v>25</v>
      </c>
      <c r="D84" s="123"/>
      <c r="E84" s="123"/>
      <c r="F84" s="136" t="s">
        <v>59</v>
      </c>
      <c r="G84" s="126" t="s">
        <v>7</v>
      </c>
      <c r="H84" s="24"/>
    </row>
    <row r="85" spans="1:8" ht="15.75" thickBot="1" x14ac:dyDescent="0.3">
      <c r="A85" s="124"/>
      <c r="B85" s="125"/>
      <c r="C85" s="35" t="s">
        <v>47</v>
      </c>
      <c r="D85" s="35" t="s">
        <v>8</v>
      </c>
      <c r="E85" s="35" t="s">
        <v>9</v>
      </c>
      <c r="F85" s="137"/>
      <c r="G85" s="127"/>
      <c r="H85" s="24"/>
    </row>
    <row r="86" spans="1:8" x14ac:dyDescent="0.25">
      <c r="A86" s="130" t="s">
        <v>52</v>
      </c>
      <c r="B86" s="29" t="s">
        <v>0</v>
      </c>
      <c r="C86" s="34">
        <v>4</v>
      </c>
      <c r="D86" s="34">
        <v>0</v>
      </c>
      <c r="E86" s="34">
        <v>0</v>
      </c>
      <c r="F86" s="37">
        <v>4.4999999999999998E-2</v>
      </c>
      <c r="G86" s="38">
        <v>4</v>
      </c>
      <c r="H86" s="24"/>
    </row>
    <row r="87" spans="1:8" x14ac:dyDescent="0.25">
      <c r="A87" s="131"/>
      <c r="B87" s="25" t="s">
        <v>31</v>
      </c>
      <c r="C87" s="26">
        <v>0</v>
      </c>
      <c r="D87" s="26">
        <v>6</v>
      </c>
      <c r="E87" s="26">
        <v>8</v>
      </c>
      <c r="F87" s="39">
        <v>0.159</v>
      </c>
      <c r="G87" s="40">
        <v>14</v>
      </c>
      <c r="H87" s="24"/>
    </row>
    <row r="88" spans="1:8" x14ac:dyDescent="0.25">
      <c r="A88" s="131"/>
      <c r="B88" s="25" t="s">
        <v>32</v>
      </c>
      <c r="C88" s="26">
        <v>0</v>
      </c>
      <c r="D88" s="26">
        <v>4</v>
      </c>
      <c r="E88" s="26">
        <v>0</v>
      </c>
      <c r="F88" s="39">
        <v>4.5999999999999999E-2</v>
      </c>
      <c r="G88" s="40">
        <v>4</v>
      </c>
      <c r="H88" s="24"/>
    </row>
    <row r="89" spans="1:8" x14ac:dyDescent="0.25">
      <c r="A89" s="131"/>
      <c r="B89" s="25" t="s">
        <v>33</v>
      </c>
      <c r="C89" s="26">
        <v>0</v>
      </c>
      <c r="D89" s="26">
        <v>19</v>
      </c>
      <c r="E89" s="26">
        <v>6</v>
      </c>
      <c r="F89" s="39">
        <v>0.28399999999999997</v>
      </c>
      <c r="G89" s="40">
        <v>25</v>
      </c>
      <c r="H89" s="24"/>
    </row>
    <row r="90" spans="1:8" x14ac:dyDescent="0.25">
      <c r="A90" s="131"/>
      <c r="B90" s="25" t="s">
        <v>34</v>
      </c>
      <c r="C90" s="26">
        <v>0</v>
      </c>
      <c r="D90" s="26">
        <v>16</v>
      </c>
      <c r="E90" s="26">
        <v>9</v>
      </c>
      <c r="F90" s="39">
        <v>0.28399999999999997</v>
      </c>
      <c r="G90" s="40">
        <v>25</v>
      </c>
      <c r="H90" s="24"/>
    </row>
    <row r="91" spans="1:8" x14ac:dyDescent="0.25">
      <c r="A91" s="131"/>
      <c r="B91" s="25" t="s">
        <v>35</v>
      </c>
      <c r="C91" s="26">
        <v>0</v>
      </c>
      <c r="D91" s="26">
        <v>11</v>
      </c>
      <c r="E91" s="26">
        <v>5</v>
      </c>
      <c r="F91" s="39">
        <v>0.182</v>
      </c>
      <c r="G91" s="40">
        <v>16</v>
      </c>
      <c r="H91" s="24"/>
    </row>
    <row r="92" spans="1:8" ht="15.75" thickBot="1" x14ac:dyDescent="0.3">
      <c r="A92" s="124" t="s">
        <v>7</v>
      </c>
      <c r="B92" s="125"/>
      <c r="C92" s="30">
        <v>4</v>
      </c>
      <c r="D92" s="30">
        <v>56</v>
      </c>
      <c r="E92" s="30">
        <v>28</v>
      </c>
      <c r="F92" s="31">
        <f>SUM(F86:F91)</f>
        <v>1</v>
      </c>
      <c r="G92" s="32">
        <v>88</v>
      </c>
      <c r="H92" s="24"/>
    </row>
    <row r="93" spans="1:8" x14ac:dyDescent="0.25">
      <c r="A93" s="24"/>
      <c r="B93" s="24"/>
      <c r="C93" s="24"/>
      <c r="D93" s="24"/>
      <c r="E93" s="24"/>
      <c r="F93" s="24"/>
      <c r="G93" s="24"/>
      <c r="H93" s="24"/>
    </row>
    <row r="94" spans="1:8" ht="25.5" customHeight="1" thickBot="1" x14ac:dyDescent="0.3">
      <c r="A94" s="121" t="s">
        <v>53</v>
      </c>
      <c r="B94" s="121"/>
      <c r="C94" s="121"/>
      <c r="D94" s="121"/>
      <c r="E94" s="121"/>
      <c r="F94" s="121"/>
      <c r="G94" s="121"/>
      <c r="H94" s="24"/>
    </row>
    <row r="95" spans="1:8" x14ac:dyDescent="0.25">
      <c r="A95" s="122" t="s">
        <v>0</v>
      </c>
      <c r="B95" s="123"/>
      <c r="C95" s="123" t="s">
        <v>25</v>
      </c>
      <c r="D95" s="123"/>
      <c r="E95" s="123"/>
      <c r="F95" s="136" t="s">
        <v>59</v>
      </c>
      <c r="G95" s="126" t="s">
        <v>7</v>
      </c>
      <c r="H95" s="24"/>
    </row>
    <row r="96" spans="1:8" ht="15.75" thickBot="1" x14ac:dyDescent="0.3">
      <c r="A96" s="124"/>
      <c r="B96" s="125"/>
      <c r="C96" s="35" t="s">
        <v>47</v>
      </c>
      <c r="D96" s="35" t="s">
        <v>8</v>
      </c>
      <c r="E96" s="35" t="s">
        <v>9</v>
      </c>
      <c r="F96" s="137"/>
      <c r="G96" s="127"/>
      <c r="H96" s="24"/>
    </row>
    <row r="97" spans="1:8" x14ac:dyDescent="0.25">
      <c r="A97" s="130" t="s">
        <v>54</v>
      </c>
      <c r="B97" s="29" t="s">
        <v>0</v>
      </c>
      <c r="C97" s="34">
        <v>4</v>
      </c>
      <c r="D97" s="34">
        <v>0</v>
      </c>
      <c r="E97" s="34">
        <v>0</v>
      </c>
      <c r="F97" s="37">
        <v>4.4999999999999998E-2</v>
      </c>
      <c r="G97" s="38">
        <v>4</v>
      </c>
      <c r="H97" s="24"/>
    </row>
    <row r="98" spans="1:8" x14ac:dyDescent="0.25">
      <c r="A98" s="131"/>
      <c r="B98" s="25" t="s">
        <v>31</v>
      </c>
      <c r="C98" s="26">
        <v>0</v>
      </c>
      <c r="D98" s="26">
        <v>9</v>
      </c>
      <c r="E98" s="26">
        <v>9</v>
      </c>
      <c r="F98" s="39">
        <v>0.20399999999999999</v>
      </c>
      <c r="G98" s="40">
        <v>18</v>
      </c>
      <c r="H98" s="24"/>
    </row>
    <row r="99" spans="1:8" x14ac:dyDescent="0.25">
      <c r="A99" s="131"/>
      <c r="B99" s="25" t="s">
        <v>32</v>
      </c>
      <c r="C99" s="26">
        <v>0</v>
      </c>
      <c r="D99" s="26">
        <v>6</v>
      </c>
      <c r="E99" s="26">
        <v>1</v>
      </c>
      <c r="F99" s="39">
        <v>0.08</v>
      </c>
      <c r="G99" s="40">
        <v>7</v>
      </c>
      <c r="H99" s="24"/>
    </row>
    <row r="100" spans="1:8" x14ac:dyDescent="0.25">
      <c r="A100" s="131"/>
      <c r="B100" s="25" t="s">
        <v>33</v>
      </c>
      <c r="C100" s="26">
        <v>0</v>
      </c>
      <c r="D100" s="26">
        <v>8</v>
      </c>
      <c r="E100" s="26">
        <v>3</v>
      </c>
      <c r="F100" s="39">
        <v>0.125</v>
      </c>
      <c r="G100" s="40">
        <v>11</v>
      </c>
      <c r="H100" s="24"/>
    </row>
    <row r="101" spans="1:8" x14ac:dyDescent="0.25">
      <c r="A101" s="131"/>
      <c r="B101" s="25" t="s">
        <v>34</v>
      </c>
      <c r="C101" s="26">
        <v>0</v>
      </c>
      <c r="D101" s="26">
        <v>11</v>
      </c>
      <c r="E101" s="26">
        <v>8</v>
      </c>
      <c r="F101" s="39">
        <v>0.216</v>
      </c>
      <c r="G101" s="40">
        <v>19</v>
      </c>
      <c r="H101" s="24"/>
    </row>
    <row r="102" spans="1:8" x14ac:dyDescent="0.25">
      <c r="A102" s="131"/>
      <c r="B102" s="25" t="s">
        <v>35</v>
      </c>
      <c r="C102" s="26">
        <v>0</v>
      </c>
      <c r="D102" s="26">
        <v>22</v>
      </c>
      <c r="E102" s="26">
        <v>7</v>
      </c>
      <c r="F102" s="39">
        <v>0.33</v>
      </c>
      <c r="G102" s="40">
        <v>29</v>
      </c>
      <c r="H102" s="24"/>
    </row>
    <row r="103" spans="1:8" ht="15.75" thickBot="1" x14ac:dyDescent="0.3">
      <c r="A103" s="124" t="s">
        <v>7</v>
      </c>
      <c r="B103" s="125"/>
      <c r="C103" s="30">
        <v>4</v>
      </c>
      <c r="D103" s="30">
        <v>56</v>
      </c>
      <c r="E103" s="30">
        <v>28</v>
      </c>
      <c r="F103" s="31">
        <f>SUM(F97:F102)</f>
        <v>1</v>
      </c>
      <c r="G103" s="32">
        <v>88</v>
      </c>
      <c r="H103" s="24"/>
    </row>
    <row r="104" spans="1:8" x14ac:dyDescent="0.25">
      <c r="A104" s="24"/>
      <c r="B104" s="24"/>
      <c r="C104" s="24"/>
      <c r="D104" s="24"/>
      <c r="E104" s="24"/>
      <c r="F104" s="24"/>
      <c r="G104" s="24"/>
      <c r="H104" s="24"/>
    </row>
    <row r="105" spans="1:8" ht="36" customHeight="1" thickBot="1" x14ac:dyDescent="0.3">
      <c r="A105" s="121" t="s">
        <v>55</v>
      </c>
      <c r="B105" s="121"/>
      <c r="C105" s="121"/>
      <c r="D105" s="121"/>
      <c r="E105" s="121"/>
      <c r="F105" s="121"/>
      <c r="G105" s="121"/>
      <c r="H105" s="24"/>
    </row>
    <row r="106" spans="1:8" x14ac:dyDescent="0.25">
      <c r="A106" s="122" t="s">
        <v>0</v>
      </c>
      <c r="B106" s="123"/>
      <c r="C106" s="123" t="s">
        <v>25</v>
      </c>
      <c r="D106" s="123"/>
      <c r="E106" s="123"/>
      <c r="F106" s="136" t="s">
        <v>59</v>
      </c>
      <c r="G106" s="126" t="s">
        <v>7</v>
      </c>
      <c r="H106" s="24"/>
    </row>
    <row r="107" spans="1:8" ht="15.75" thickBot="1" x14ac:dyDescent="0.3">
      <c r="A107" s="124"/>
      <c r="B107" s="125"/>
      <c r="C107" s="35" t="s">
        <v>47</v>
      </c>
      <c r="D107" s="35" t="s">
        <v>8</v>
      </c>
      <c r="E107" s="35" t="s">
        <v>9</v>
      </c>
      <c r="F107" s="137"/>
      <c r="G107" s="127"/>
      <c r="H107" s="24"/>
    </row>
    <row r="108" spans="1:8" x14ac:dyDescent="0.25">
      <c r="A108" s="130" t="s">
        <v>56</v>
      </c>
      <c r="B108" s="29" t="s">
        <v>0</v>
      </c>
      <c r="C108" s="34">
        <v>4</v>
      </c>
      <c r="D108" s="34">
        <v>0</v>
      </c>
      <c r="E108" s="34">
        <v>0</v>
      </c>
      <c r="F108" s="37">
        <v>4.4999999999999998E-2</v>
      </c>
      <c r="G108" s="38">
        <v>4</v>
      </c>
      <c r="H108" s="24"/>
    </row>
    <row r="109" spans="1:8" x14ac:dyDescent="0.25">
      <c r="A109" s="131"/>
      <c r="B109" s="25" t="s">
        <v>31</v>
      </c>
      <c r="C109" s="26">
        <v>0</v>
      </c>
      <c r="D109" s="26">
        <v>6</v>
      </c>
      <c r="E109" s="26">
        <v>6</v>
      </c>
      <c r="F109" s="39">
        <v>0.13600000000000001</v>
      </c>
      <c r="G109" s="40">
        <v>12</v>
      </c>
      <c r="H109" s="24"/>
    </row>
    <row r="110" spans="1:8" x14ac:dyDescent="0.25">
      <c r="A110" s="131"/>
      <c r="B110" s="25" t="s">
        <v>32</v>
      </c>
      <c r="C110" s="26">
        <v>0</v>
      </c>
      <c r="D110" s="26">
        <v>4</v>
      </c>
      <c r="E110" s="26">
        <v>1</v>
      </c>
      <c r="F110" s="39">
        <v>5.7000000000000002E-2</v>
      </c>
      <c r="G110" s="40">
        <v>5</v>
      </c>
      <c r="H110" s="24"/>
    </row>
    <row r="111" spans="1:8" x14ac:dyDescent="0.25">
      <c r="A111" s="131"/>
      <c r="B111" s="25" t="s">
        <v>33</v>
      </c>
      <c r="C111" s="26">
        <v>0</v>
      </c>
      <c r="D111" s="26">
        <v>11</v>
      </c>
      <c r="E111" s="26">
        <v>2</v>
      </c>
      <c r="F111" s="39">
        <v>0.14799999999999999</v>
      </c>
      <c r="G111" s="40">
        <v>13</v>
      </c>
      <c r="H111" s="24"/>
    </row>
    <row r="112" spans="1:8" x14ac:dyDescent="0.25">
      <c r="A112" s="131"/>
      <c r="B112" s="25" t="s">
        <v>34</v>
      </c>
      <c r="C112" s="26">
        <v>0</v>
      </c>
      <c r="D112" s="26">
        <v>11</v>
      </c>
      <c r="E112" s="26">
        <v>8</v>
      </c>
      <c r="F112" s="39">
        <v>0.216</v>
      </c>
      <c r="G112" s="40">
        <v>19</v>
      </c>
      <c r="H112" s="24"/>
    </row>
    <row r="113" spans="1:8" x14ac:dyDescent="0.25">
      <c r="A113" s="131"/>
      <c r="B113" s="25" t="s">
        <v>35</v>
      </c>
      <c r="C113" s="26">
        <v>0</v>
      </c>
      <c r="D113" s="26">
        <v>24</v>
      </c>
      <c r="E113" s="26">
        <v>11</v>
      </c>
      <c r="F113" s="39">
        <v>0.39800000000000002</v>
      </c>
      <c r="G113" s="40">
        <v>35</v>
      </c>
      <c r="H113" s="24"/>
    </row>
    <row r="114" spans="1:8" ht="15.75" thickBot="1" x14ac:dyDescent="0.3">
      <c r="A114" s="132" t="s">
        <v>7</v>
      </c>
      <c r="B114" s="133"/>
      <c r="C114" s="27">
        <v>4</v>
      </c>
      <c r="D114" s="27">
        <v>56</v>
      </c>
      <c r="E114" s="27">
        <v>28</v>
      </c>
      <c r="F114" s="33">
        <f>SUM(F108:F113)</f>
        <v>1</v>
      </c>
      <c r="G114" s="28">
        <v>88</v>
      </c>
      <c r="H114" s="24"/>
    </row>
    <row r="115" spans="1:8" x14ac:dyDescent="0.25">
      <c r="A115" s="24"/>
      <c r="B115" s="24"/>
      <c r="C115" s="24"/>
      <c r="D115" s="24"/>
      <c r="E115" s="24"/>
      <c r="F115" s="24"/>
      <c r="G115" s="24"/>
      <c r="H115" s="24"/>
    </row>
    <row r="116" spans="1:8" ht="24.75" customHeight="1" thickBot="1" x14ac:dyDescent="0.3">
      <c r="A116" s="121" t="s">
        <v>57</v>
      </c>
      <c r="B116" s="121"/>
      <c r="C116" s="121"/>
      <c r="D116" s="121"/>
      <c r="E116" s="121"/>
      <c r="F116" s="121"/>
      <c r="G116" s="121"/>
      <c r="H116" s="24"/>
    </row>
    <row r="117" spans="1:8" x14ac:dyDescent="0.25">
      <c r="A117" s="122" t="s">
        <v>0</v>
      </c>
      <c r="B117" s="123"/>
      <c r="C117" s="123" t="s">
        <v>25</v>
      </c>
      <c r="D117" s="123"/>
      <c r="E117" s="123"/>
      <c r="F117" s="136" t="s">
        <v>59</v>
      </c>
      <c r="G117" s="126" t="s">
        <v>7</v>
      </c>
      <c r="H117" s="24"/>
    </row>
    <row r="118" spans="1:8" ht="15.75" thickBot="1" x14ac:dyDescent="0.3">
      <c r="A118" s="124"/>
      <c r="B118" s="125"/>
      <c r="C118" s="35" t="s">
        <v>47</v>
      </c>
      <c r="D118" s="35" t="s">
        <v>8</v>
      </c>
      <c r="E118" s="35" t="s">
        <v>9</v>
      </c>
      <c r="F118" s="137"/>
      <c r="G118" s="127"/>
      <c r="H118" s="24"/>
    </row>
    <row r="119" spans="1:8" x14ac:dyDescent="0.25">
      <c r="A119" s="130" t="s">
        <v>58</v>
      </c>
      <c r="B119" s="29" t="s">
        <v>0</v>
      </c>
      <c r="C119" s="34">
        <v>4</v>
      </c>
      <c r="D119" s="34">
        <v>0</v>
      </c>
      <c r="E119" s="34">
        <v>0</v>
      </c>
      <c r="F119" s="37">
        <v>4.4999999999999998E-2</v>
      </c>
      <c r="G119" s="38">
        <v>4</v>
      </c>
      <c r="H119" s="24"/>
    </row>
    <row r="120" spans="1:8" x14ac:dyDescent="0.25">
      <c r="A120" s="131"/>
      <c r="B120" s="25" t="s">
        <v>31</v>
      </c>
      <c r="C120" s="26">
        <v>0</v>
      </c>
      <c r="D120" s="26">
        <v>18</v>
      </c>
      <c r="E120" s="26">
        <v>12</v>
      </c>
      <c r="F120" s="39">
        <v>0.34100000000000003</v>
      </c>
      <c r="G120" s="40">
        <v>30</v>
      </c>
      <c r="H120" s="24"/>
    </row>
    <row r="121" spans="1:8" x14ac:dyDescent="0.25">
      <c r="A121" s="131"/>
      <c r="B121" s="25" t="s">
        <v>32</v>
      </c>
      <c r="C121" s="26">
        <v>0</v>
      </c>
      <c r="D121" s="26">
        <v>13</v>
      </c>
      <c r="E121" s="26">
        <v>6</v>
      </c>
      <c r="F121" s="39">
        <v>0.216</v>
      </c>
      <c r="G121" s="40">
        <v>19</v>
      </c>
      <c r="H121" s="24"/>
    </row>
    <row r="122" spans="1:8" x14ac:dyDescent="0.25">
      <c r="A122" s="131"/>
      <c r="B122" s="25" t="s">
        <v>33</v>
      </c>
      <c r="C122" s="26">
        <v>0</v>
      </c>
      <c r="D122" s="26">
        <v>10</v>
      </c>
      <c r="E122" s="26">
        <v>3</v>
      </c>
      <c r="F122" s="39">
        <v>0.14799999999999999</v>
      </c>
      <c r="G122" s="40">
        <v>13</v>
      </c>
      <c r="H122" s="24"/>
    </row>
    <row r="123" spans="1:8" x14ac:dyDescent="0.25">
      <c r="A123" s="131"/>
      <c r="B123" s="25" t="s">
        <v>34</v>
      </c>
      <c r="C123" s="26">
        <v>0</v>
      </c>
      <c r="D123" s="26">
        <v>12</v>
      </c>
      <c r="E123" s="26">
        <v>4</v>
      </c>
      <c r="F123" s="39">
        <v>0.182</v>
      </c>
      <c r="G123" s="40">
        <v>16</v>
      </c>
      <c r="H123" s="24"/>
    </row>
    <row r="124" spans="1:8" x14ac:dyDescent="0.25">
      <c r="A124" s="131"/>
      <c r="B124" s="25" t="s">
        <v>35</v>
      </c>
      <c r="C124" s="26">
        <v>0</v>
      </c>
      <c r="D124" s="26">
        <v>3</v>
      </c>
      <c r="E124" s="26">
        <v>3</v>
      </c>
      <c r="F124" s="39">
        <v>6.8000000000000005E-2</v>
      </c>
      <c r="G124" s="40">
        <v>6</v>
      </c>
      <c r="H124" s="24"/>
    </row>
    <row r="125" spans="1:8" ht="15.75" thickBot="1" x14ac:dyDescent="0.3">
      <c r="A125" s="132" t="s">
        <v>7</v>
      </c>
      <c r="B125" s="133"/>
      <c r="C125" s="27">
        <v>4</v>
      </c>
      <c r="D125" s="27">
        <v>56</v>
      </c>
      <c r="E125" s="27">
        <v>28</v>
      </c>
      <c r="F125" s="33">
        <f>SUM(F119:F124)</f>
        <v>1</v>
      </c>
      <c r="G125" s="28">
        <v>88</v>
      </c>
      <c r="H125" s="24"/>
    </row>
    <row r="126" spans="1:8" x14ac:dyDescent="0.25"/>
    <row r="127" spans="1:8" x14ac:dyDescent="0.25"/>
    <row r="128" spans="1:8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</sheetData>
  <mergeCells count="80">
    <mergeCell ref="A119:A124"/>
    <mergeCell ref="A125:B125"/>
    <mergeCell ref="F7:F8"/>
    <mergeCell ref="F18:F19"/>
    <mergeCell ref="F29:F30"/>
    <mergeCell ref="F40:F41"/>
    <mergeCell ref="F51:F52"/>
    <mergeCell ref="F62:F63"/>
    <mergeCell ref="A108:A113"/>
    <mergeCell ref="A114:B114"/>
    <mergeCell ref="A116:G116"/>
    <mergeCell ref="A117:B118"/>
    <mergeCell ref="C117:E117"/>
    <mergeCell ref="G117:G118"/>
    <mergeCell ref="F117:F118"/>
    <mergeCell ref="A97:A102"/>
    <mergeCell ref="A103:B103"/>
    <mergeCell ref="A105:G105"/>
    <mergeCell ref="A106:B107"/>
    <mergeCell ref="C106:E106"/>
    <mergeCell ref="G106:G107"/>
    <mergeCell ref="F106:F107"/>
    <mergeCell ref="A86:A91"/>
    <mergeCell ref="A92:B92"/>
    <mergeCell ref="A94:G94"/>
    <mergeCell ref="A95:B96"/>
    <mergeCell ref="C95:E95"/>
    <mergeCell ref="G95:G96"/>
    <mergeCell ref="F95:F96"/>
    <mergeCell ref="A75:A80"/>
    <mergeCell ref="A81:B81"/>
    <mergeCell ref="A83:G83"/>
    <mergeCell ref="A84:B85"/>
    <mergeCell ref="C84:E84"/>
    <mergeCell ref="G84:G85"/>
    <mergeCell ref="F84:F85"/>
    <mergeCell ref="A64:A69"/>
    <mergeCell ref="A70:B70"/>
    <mergeCell ref="A72:G72"/>
    <mergeCell ref="A73:B74"/>
    <mergeCell ref="C73:E73"/>
    <mergeCell ref="G73:G74"/>
    <mergeCell ref="F73:F74"/>
    <mergeCell ref="A53:A58"/>
    <mergeCell ref="A59:B59"/>
    <mergeCell ref="A61:G61"/>
    <mergeCell ref="A62:B63"/>
    <mergeCell ref="C62:E62"/>
    <mergeCell ref="G62:G63"/>
    <mergeCell ref="A42:A47"/>
    <mergeCell ref="A48:B48"/>
    <mergeCell ref="A50:G50"/>
    <mergeCell ref="A51:B52"/>
    <mergeCell ref="C51:E51"/>
    <mergeCell ref="G51:G52"/>
    <mergeCell ref="A31:A36"/>
    <mergeCell ref="A37:B37"/>
    <mergeCell ref="A39:G39"/>
    <mergeCell ref="A40:B41"/>
    <mergeCell ref="C40:E40"/>
    <mergeCell ref="G40:G41"/>
    <mergeCell ref="A20:A25"/>
    <mergeCell ref="A26:B26"/>
    <mergeCell ref="A28:G28"/>
    <mergeCell ref="A29:B30"/>
    <mergeCell ref="C29:E29"/>
    <mergeCell ref="G29:G30"/>
    <mergeCell ref="A9:A14"/>
    <mergeCell ref="A15:B15"/>
    <mergeCell ref="A17:G17"/>
    <mergeCell ref="A18:B19"/>
    <mergeCell ref="C18:E18"/>
    <mergeCell ref="G18:G19"/>
    <mergeCell ref="A6:G6"/>
    <mergeCell ref="A7:B8"/>
    <mergeCell ref="C7:E7"/>
    <mergeCell ref="G7:G8"/>
    <mergeCell ref="A2:Q3"/>
    <mergeCell ref="B4:E4"/>
    <mergeCell ref="J4:N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134"/>
  <sheetViews>
    <sheetView workbookViewId="0">
      <selection activeCell="N13" sqref="N13"/>
    </sheetView>
  </sheetViews>
  <sheetFormatPr defaultColWidth="14.7109375" defaultRowHeight="15" x14ac:dyDescent="0.25"/>
  <cols>
    <col min="1" max="1" width="7.85546875" customWidth="1"/>
    <col min="2" max="2" width="6.5703125" customWidth="1"/>
    <col min="3" max="3" width="31" customWidth="1"/>
    <col min="4" max="4" width="17.28515625" customWidth="1"/>
    <col min="6" max="6" width="10.7109375" customWidth="1"/>
    <col min="7" max="7" width="11.7109375" customWidth="1"/>
    <col min="8" max="8" width="9.140625" customWidth="1"/>
    <col min="9" max="9" width="12" customWidth="1"/>
    <col min="10" max="10" width="10.5703125" customWidth="1"/>
    <col min="12" max="12" width="14.7109375" style="97"/>
    <col min="13" max="13" width="8.5703125" customWidth="1"/>
    <col min="14" max="14" width="14.7109375" style="97"/>
  </cols>
  <sheetData>
    <row r="2" spans="3:11" x14ac:dyDescent="0.25">
      <c r="C2" s="138" t="s">
        <v>29</v>
      </c>
      <c r="D2" s="138"/>
      <c r="E2" s="138"/>
      <c r="F2" s="138"/>
      <c r="G2" s="138"/>
      <c r="H2" s="138"/>
      <c r="I2" s="138"/>
      <c r="J2" s="138"/>
      <c r="K2" s="138"/>
    </row>
    <row r="3" spans="3:11" x14ac:dyDescent="0.25">
      <c r="C3" s="138"/>
      <c r="D3" s="138"/>
      <c r="E3" s="138"/>
      <c r="F3" s="138"/>
      <c r="G3" s="138"/>
      <c r="H3" s="138"/>
      <c r="I3" s="138"/>
      <c r="J3" s="138"/>
      <c r="K3" s="138"/>
    </row>
    <row r="5" spans="3:11" ht="15.75" thickBot="1" x14ac:dyDescent="0.3">
      <c r="C5" s="121" t="s">
        <v>225</v>
      </c>
      <c r="D5" s="121"/>
      <c r="E5" s="121"/>
      <c r="F5" s="121"/>
      <c r="G5" s="121"/>
      <c r="H5" s="121"/>
      <c r="I5" s="121"/>
      <c r="J5" s="121"/>
    </row>
    <row r="6" spans="3:11" x14ac:dyDescent="0.25">
      <c r="C6" s="122" t="s">
        <v>0</v>
      </c>
      <c r="D6" s="123"/>
      <c r="E6" s="123" t="s">
        <v>169</v>
      </c>
      <c r="F6" s="123"/>
      <c r="G6" s="123"/>
      <c r="H6" s="123"/>
      <c r="I6" s="136" t="s">
        <v>59</v>
      </c>
      <c r="J6" s="126" t="s">
        <v>7</v>
      </c>
    </row>
    <row r="7" spans="3:11" ht="15.75" thickBot="1" x14ac:dyDescent="0.3">
      <c r="C7" s="124"/>
      <c r="D7" s="125"/>
      <c r="E7" s="89" t="s">
        <v>47</v>
      </c>
      <c r="F7" s="89" t="s">
        <v>4</v>
      </c>
      <c r="G7" s="89" t="s">
        <v>5</v>
      </c>
      <c r="H7" s="89" t="s">
        <v>6</v>
      </c>
      <c r="I7" s="137"/>
      <c r="J7" s="127"/>
    </row>
    <row r="8" spans="3:11" x14ac:dyDescent="0.25">
      <c r="C8" s="130" t="s">
        <v>46</v>
      </c>
      <c r="D8" s="29"/>
      <c r="E8" s="34">
        <v>4</v>
      </c>
      <c r="F8" s="34">
        <v>0</v>
      </c>
      <c r="G8" s="34">
        <v>0</v>
      </c>
      <c r="H8" s="34">
        <v>0</v>
      </c>
      <c r="I8" s="37">
        <v>4.4999999999999998E-2</v>
      </c>
      <c r="J8" s="38">
        <f t="shared" ref="J8:J13" si="0">SUM(E8:I8)</f>
        <v>4.0449999999999999</v>
      </c>
    </row>
    <row r="9" spans="3:11" x14ac:dyDescent="0.25">
      <c r="C9" s="131"/>
      <c r="D9" s="25" t="s">
        <v>31</v>
      </c>
      <c r="E9" s="26">
        <v>0</v>
      </c>
      <c r="F9" s="26">
        <v>7</v>
      </c>
      <c r="G9" s="26">
        <v>16</v>
      </c>
      <c r="H9" s="26">
        <v>6</v>
      </c>
      <c r="I9" s="39">
        <v>0.33</v>
      </c>
      <c r="J9" s="38">
        <f t="shared" si="0"/>
        <v>29.33</v>
      </c>
    </row>
    <row r="10" spans="3:11" x14ac:dyDescent="0.25">
      <c r="C10" s="131"/>
      <c r="D10" s="25" t="s">
        <v>32</v>
      </c>
      <c r="E10" s="26">
        <v>0</v>
      </c>
      <c r="F10" s="26">
        <v>0</v>
      </c>
      <c r="G10" s="26">
        <v>4</v>
      </c>
      <c r="H10" s="26">
        <v>7</v>
      </c>
      <c r="I10" s="39">
        <v>0.125</v>
      </c>
      <c r="J10" s="38">
        <f t="shared" si="0"/>
        <v>11.125</v>
      </c>
    </row>
    <row r="11" spans="3:11" x14ac:dyDescent="0.25">
      <c r="C11" s="131"/>
      <c r="D11" s="25" t="s">
        <v>33</v>
      </c>
      <c r="E11" s="26">
        <v>0</v>
      </c>
      <c r="F11" s="26">
        <v>3</v>
      </c>
      <c r="G11" s="26">
        <v>2</v>
      </c>
      <c r="H11" s="26">
        <v>6</v>
      </c>
      <c r="I11" s="39">
        <v>0.125</v>
      </c>
      <c r="J11" s="38">
        <f t="shared" si="0"/>
        <v>11.125</v>
      </c>
    </row>
    <row r="12" spans="3:11" x14ac:dyDescent="0.25">
      <c r="C12" s="131"/>
      <c r="D12" s="25" t="s">
        <v>34</v>
      </c>
      <c r="E12" s="26">
        <v>0</v>
      </c>
      <c r="F12" s="26">
        <v>3</v>
      </c>
      <c r="G12" s="26">
        <v>4</v>
      </c>
      <c r="H12" s="26">
        <v>23</v>
      </c>
      <c r="I12" s="39">
        <v>0.34100000000000003</v>
      </c>
      <c r="J12" s="38">
        <f t="shared" si="0"/>
        <v>30.341000000000001</v>
      </c>
    </row>
    <row r="13" spans="3:11" x14ac:dyDescent="0.25">
      <c r="C13" s="131"/>
      <c r="D13" s="25" t="s">
        <v>35</v>
      </c>
      <c r="E13" s="26">
        <v>0</v>
      </c>
      <c r="F13" s="26">
        <v>1</v>
      </c>
      <c r="G13" s="26">
        <v>1</v>
      </c>
      <c r="H13" s="26">
        <v>1</v>
      </c>
      <c r="I13" s="39">
        <v>3.4000000000000002E-2</v>
      </c>
      <c r="J13" s="38">
        <f t="shared" si="0"/>
        <v>3.0339999999999998</v>
      </c>
    </row>
    <row r="14" spans="3:11" ht="15.75" thickBot="1" x14ac:dyDescent="0.3">
      <c r="C14" s="124" t="s">
        <v>7</v>
      </c>
      <c r="D14" s="125"/>
      <c r="E14" s="30">
        <v>4</v>
      </c>
      <c r="F14" s="30">
        <f>SUM(F8:F13)</f>
        <v>14</v>
      </c>
      <c r="G14" s="30">
        <f t="shared" ref="G14:I14" si="1">SUM(G8:G13)</f>
        <v>27</v>
      </c>
      <c r="H14" s="30">
        <f t="shared" si="1"/>
        <v>43</v>
      </c>
      <c r="I14" s="98">
        <f t="shared" si="1"/>
        <v>1</v>
      </c>
      <c r="J14" s="30">
        <v>88</v>
      </c>
    </row>
    <row r="17" spans="3:11" ht="15.75" thickBot="1" x14ac:dyDescent="0.3">
      <c r="C17" s="121" t="s">
        <v>172</v>
      </c>
      <c r="D17" s="121"/>
      <c r="E17" s="121"/>
      <c r="F17" s="121"/>
      <c r="G17" s="121"/>
      <c r="H17" s="121"/>
      <c r="I17" s="121"/>
      <c r="J17" s="121"/>
    </row>
    <row r="18" spans="3:11" x14ac:dyDescent="0.25">
      <c r="C18" s="122" t="s">
        <v>0</v>
      </c>
      <c r="D18" s="123"/>
      <c r="E18" s="123" t="s">
        <v>169</v>
      </c>
      <c r="F18" s="123"/>
      <c r="G18" s="123"/>
      <c r="H18" s="123"/>
      <c r="I18" s="136" t="s">
        <v>59</v>
      </c>
      <c r="J18" s="126" t="s">
        <v>7</v>
      </c>
    </row>
    <row r="19" spans="3:11" ht="15.75" thickBot="1" x14ac:dyDescent="0.3">
      <c r="C19" s="124"/>
      <c r="D19" s="125"/>
      <c r="E19" s="89" t="s">
        <v>47</v>
      </c>
      <c r="F19" s="89" t="s">
        <v>4</v>
      </c>
      <c r="G19" s="89" t="s">
        <v>5</v>
      </c>
      <c r="H19" s="89" t="s">
        <v>6</v>
      </c>
      <c r="I19" s="137"/>
      <c r="J19" s="127"/>
    </row>
    <row r="20" spans="3:11" x14ac:dyDescent="0.25">
      <c r="C20" s="130" t="s">
        <v>38</v>
      </c>
      <c r="D20" s="29"/>
      <c r="E20" s="34">
        <v>4</v>
      </c>
      <c r="F20" s="34">
        <v>0</v>
      </c>
      <c r="G20" s="34">
        <v>0</v>
      </c>
      <c r="H20" s="34">
        <v>0</v>
      </c>
      <c r="I20" s="37">
        <v>4.4999999999999998E-2</v>
      </c>
      <c r="J20" s="38">
        <f t="shared" ref="J20:J25" si="2">SUM(E20:I20)</f>
        <v>4.0449999999999999</v>
      </c>
      <c r="K20" s="94"/>
    </row>
    <row r="21" spans="3:11" x14ac:dyDescent="0.25">
      <c r="C21" s="131"/>
      <c r="D21" s="25" t="s">
        <v>31</v>
      </c>
      <c r="E21" s="26">
        <v>0</v>
      </c>
      <c r="F21" s="26">
        <v>6</v>
      </c>
      <c r="G21" s="26">
        <v>16</v>
      </c>
      <c r="H21" s="26">
        <v>10</v>
      </c>
      <c r="I21" s="39">
        <v>0.36399999999999999</v>
      </c>
      <c r="J21" s="38">
        <f t="shared" si="2"/>
        <v>32.363999999999997</v>
      </c>
      <c r="K21" s="94"/>
    </row>
    <row r="22" spans="3:11" x14ac:dyDescent="0.25">
      <c r="C22" s="131"/>
      <c r="D22" s="25" t="s">
        <v>32</v>
      </c>
      <c r="E22" s="26">
        <v>0</v>
      </c>
      <c r="F22" s="26">
        <v>0</v>
      </c>
      <c r="G22" s="26">
        <v>4</v>
      </c>
      <c r="H22" s="26">
        <v>9</v>
      </c>
      <c r="I22" s="39">
        <v>0.14799999999999999</v>
      </c>
      <c r="J22" s="38">
        <f t="shared" si="2"/>
        <v>13.148</v>
      </c>
      <c r="K22" s="94"/>
    </row>
    <row r="23" spans="3:11" x14ac:dyDescent="0.25">
      <c r="C23" s="131"/>
      <c r="D23" s="25" t="s">
        <v>33</v>
      </c>
      <c r="E23" s="26">
        <v>0</v>
      </c>
      <c r="F23" s="26">
        <v>4</v>
      </c>
      <c r="G23" s="26">
        <v>3</v>
      </c>
      <c r="H23" s="26">
        <v>6</v>
      </c>
      <c r="I23" s="39">
        <v>0.14799999999999999</v>
      </c>
      <c r="J23" s="38">
        <f t="shared" si="2"/>
        <v>13.148</v>
      </c>
      <c r="K23" s="94"/>
    </row>
    <row r="24" spans="3:11" x14ac:dyDescent="0.25">
      <c r="C24" s="131"/>
      <c r="D24" s="25" t="s">
        <v>34</v>
      </c>
      <c r="E24" s="26">
        <v>0</v>
      </c>
      <c r="F24" s="26">
        <v>2</v>
      </c>
      <c r="G24" s="26">
        <v>4</v>
      </c>
      <c r="H24" s="26">
        <v>16</v>
      </c>
      <c r="I24" s="39">
        <v>0.25</v>
      </c>
      <c r="J24" s="38">
        <f t="shared" si="2"/>
        <v>22.25</v>
      </c>
      <c r="K24" s="94"/>
    </row>
    <row r="25" spans="3:11" x14ac:dyDescent="0.25">
      <c r="C25" s="131"/>
      <c r="D25" s="25" t="s">
        <v>35</v>
      </c>
      <c r="E25" s="26">
        <v>0</v>
      </c>
      <c r="F25" s="26">
        <v>2</v>
      </c>
      <c r="G25" s="26">
        <v>0</v>
      </c>
      <c r="H25" s="26">
        <v>2</v>
      </c>
      <c r="I25" s="39">
        <v>4.4999999999999998E-2</v>
      </c>
      <c r="J25" s="38">
        <f t="shared" si="2"/>
        <v>4.0449999999999999</v>
      </c>
      <c r="K25" s="94"/>
    </row>
    <row r="26" spans="3:11" ht="15.75" thickBot="1" x14ac:dyDescent="0.3">
      <c r="C26" s="124" t="s">
        <v>7</v>
      </c>
      <c r="D26" s="125"/>
      <c r="E26" s="30">
        <f>SUM(E20:E25)</f>
        <v>4</v>
      </c>
      <c r="F26" s="30">
        <f t="shared" ref="F26:I26" si="3">SUM(F20:F25)</f>
        <v>14</v>
      </c>
      <c r="G26" s="30">
        <f t="shared" si="3"/>
        <v>27</v>
      </c>
      <c r="H26" s="30">
        <f t="shared" si="3"/>
        <v>43</v>
      </c>
      <c r="I26" s="99">
        <f t="shared" si="3"/>
        <v>1</v>
      </c>
      <c r="J26" s="30">
        <v>88</v>
      </c>
    </row>
    <row r="29" spans="3:11" ht="26.25" customHeight="1" thickBot="1" x14ac:dyDescent="0.3">
      <c r="C29" s="121" t="s">
        <v>173</v>
      </c>
      <c r="D29" s="121"/>
      <c r="E29" s="121"/>
      <c r="F29" s="121"/>
      <c r="G29" s="121"/>
      <c r="H29" s="121"/>
      <c r="I29" s="121"/>
      <c r="J29" s="121"/>
    </row>
    <row r="30" spans="3:11" x14ac:dyDescent="0.25">
      <c r="C30" s="122" t="s">
        <v>0</v>
      </c>
      <c r="D30" s="123"/>
      <c r="E30" s="123" t="s">
        <v>169</v>
      </c>
      <c r="F30" s="123"/>
      <c r="G30" s="123"/>
      <c r="H30" s="123"/>
      <c r="I30" s="136" t="s">
        <v>59</v>
      </c>
      <c r="J30" s="126" t="s">
        <v>7</v>
      </c>
    </row>
    <row r="31" spans="3:11" ht="15.75" thickBot="1" x14ac:dyDescent="0.3">
      <c r="C31" s="124"/>
      <c r="D31" s="125"/>
      <c r="E31" s="89" t="s">
        <v>47</v>
      </c>
      <c r="F31" s="89" t="s">
        <v>4</v>
      </c>
      <c r="G31" s="89" t="s">
        <v>5</v>
      </c>
      <c r="H31" s="89" t="s">
        <v>6</v>
      </c>
      <c r="I31" s="137"/>
      <c r="J31" s="127"/>
    </row>
    <row r="32" spans="3:11" x14ac:dyDescent="0.25">
      <c r="C32" s="130" t="s">
        <v>41</v>
      </c>
      <c r="D32" s="29"/>
      <c r="E32" s="34">
        <v>4</v>
      </c>
      <c r="F32" s="34">
        <v>0</v>
      </c>
      <c r="G32" s="34">
        <v>0</v>
      </c>
      <c r="H32" s="34">
        <v>0</v>
      </c>
      <c r="I32" s="37">
        <v>4.4999999999999998E-2</v>
      </c>
      <c r="J32" s="38">
        <f t="shared" ref="J32:J37" si="4">SUM(E32:I32)</f>
        <v>4.0449999999999999</v>
      </c>
      <c r="K32" s="94"/>
    </row>
    <row r="33" spans="3:11" x14ac:dyDescent="0.25">
      <c r="C33" s="131"/>
      <c r="D33" s="25" t="s">
        <v>31</v>
      </c>
      <c r="E33" s="26">
        <v>0</v>
      </c>
      <c r="F33" s="26">
        <v>2</v>
      </c>
      <c r="G33" s="26">
        <v>9</v>
      </c>
      <c r="H33" s="26">
        <v>5</v>
      </c>
      <c r="I33" s="39">
        <v>0.182</v>
      </c>
      <c r="J33" s="38">
        <f t="shared" si="4"/>
        <v>16.181999999999999</v>
      </c>
      <c r="K33" s="94"/>
    </row>
    <row r="34" spans="3:11" x14ac:dyDescent="0.25">
      <c r="C34" s="131"/>
      <c r="D34" s="25" t="s">
        <v>32</v>
      </c>
      <c r="E34" s="26">
        <v>0</v>
      </c>
      <c r="F34" s="26">
        <v>1</v>
      </c>
      <c r="G34" s="26">
        <v>3</v>
      </c>
      <c r="H34" s="26">
        <v>12</v>
      </c>
      <c r="I34" s="39">
        <v>0.182</v>
      </c>
      <c r="J34" s="38">
        <f t="shared" si="4"/>
        <v>16.181999999999999</v>
      </c>
      <c r="K34" s="94"/>
    </row>
    <row r="35" spans="3:11" x14ac:dyDescent="0.25">
      <c r="C35" s="131"/>
      <c r="D35" s="25" t="s">
        <v>33</v>
      </c>
      <c r="E35" s="26">
        <v>0</v>
      </c>
      <c r="F35" s="26">
        <v>3</v>
      </c>
      <c r="G35" s="26">
        <v>3</v>
      </c>
      <c r="H35" s="26">
        <v>4</v>
      </c>
      <c r="I35" s="39">
        <v>0.114</v>
      </c>
      <c r="J35" s="38">
        <f t="shared" si="4"/>
        <v>10.114000000000001</v>
      </c>
      <c r="K35" s="94"/>
    </row>
    <row r="36" spans="3:11" x14ac:dyDescent="0.25">
      <c r="C36" s="131"/>
      <c r="D36" s="25" t="s">
        <v>34</v>
      </c>
      <c r="E36" s="26">
        <v>0</v>
      </c>
      <c r="F36" s="26">
        <v>3</v>
      </c>
      <c r="G36" s="26">
        <v>5</v>
      </c>
      <c r="H36" s="26">
        <v>12</v>
      </c>
      <c r="I36" s="39">
        <v>0.22700000000000001</v>
      </c>
      <c r="J36" s="38">
        <f t="shared" si="4"/>
        <v>20.227</v>
      </c>
      <c r="K36" s="94"/>
    </row>
    <row r="37" spans="3:11" x14ac:dyDescent="0.25">
      <c r="C37" s="131"/>
      <c r="D37" s="25" t="s">
        <v>35</v>
      </c>
      <c r="E37" s="26">
        <v>0</v>
      </c>
      <c r="F37" s="26">
        <v>5</v>
      </c>
      <c r="G37" s="26">
        <v>7</v>
      </c>
      <c r="H37" s="26">
        <v>10</v>
      </c>
      <c r="I37" s="39">
        <v>0.25</v>
      </c>
      <c r="J37" s="38">
        <f t="shared" si="4"/>
        <v>22.25</v>
      </c>
      <c r="K37" s="94"/>
    </row>
    <row r="38" spans="3:11" ht="15.75" thickBot="1" x14ac:dyDescent="0.3">
      <c r="C38" s="124" t="s">
        <v>7</v>
      </c>
      <c r="D38" s="125"/>
      <c r="E38" s="30">
        <f>SUM(E32:E37)</f>
        <v>4</v>
      </c>
      <c r="F38" s="30">
        <f t="shared" ref="F38:I38" si="5">SUM(F32:F37)</f>
        <v>14</v>
      </c>
      <c r="G38" s="30">
        <f t="shared" si="5"/>
        <v>27</v>
      </c>
      <c r="H38" s="30">
        <f t="shared" si="5"/>
        <v>43</v>
      </c>
      <c r="I38" s="99">
        <f t="shared" si="5"/>
        <v>1</v>
      </c>
      <c r="J38" s="30">
        <v>88</v>
      </c>
    </row>
    <row r="41" spans="3:11" ht="15.75" thickBot="1" x14ac:dyDescent="0.3">
      <c r="C41" s="121" t="s">
        <v>174</v>
      </c>
      <c r="D41" s="121"/>
      <c r="E41" s="121"/>
      <c r="F41" s="121"/>
      <c r="G41" s="121"/>
      <c r="H41" s="121"/>
      <c r="I41" s="121"/>
      <c r="J41" s="121"/>
    </row>
    <row r="42" spans="3:11" x14ac:dyDescent="0.25">
      <c r="C42" s="122" t="s">
        <v>0</v>
      </c>
      <c r="D42" s="123"/>
      <c r="E42" s="123" t="s">
        <v>169</v>
      </c>
      <c r="F42" s="123"/>
      <c r="G42" s="123"/>
      <c r="H42" s="123"/>
      <c r="I42" s="136" t="s">
        <v>59</v>
      </c>
      <c r="J42" s="126" t="s">
        <v>7</v>
      </c>
    </row>
    <row r="43" spans="3:11" ht="15.75" thickBot="1" x14ac:dyDescent="0.3">
      <c r="C43" s="124"/>
      <c r="D43" s="125"/>
      <c r="E43" s="89" t="s">
        <v>47</v>
      </c>
      <c r="F43" s="89" t="s">
        <v>4</v>
      </c>
      <c r="G43" s="89" t="s">
        <v>5</v>
      </c>
      <c r="H43" s="89" t="s">
        <v>6</v>
      </c>
      <c r="I43" s="137"/>
      <c r="J43" s="127"/>
    </row>
    <row r="44" spans="3:11" x14ac:dyDescent="0.25">
      <c r="C44" s="130" t="s">
        <v>42</v>
      </c>
      <c r="D44" s="29"/>
      <c r="E44" s="34">
        <v>4</v>
      </c>
      <c r="F44" s="34">
        <v>0</v>
      </c>
      <c r="G44" s="34">
        <v>0</v>
      </c>
      <c r="H44" s="34">
        <v>0</v>
      </c>
      <c r="I44" s="37">
        <v>4.4999999999999998E-2</v>
      </c>
      <c r="J44" s="38">
        <f t="shared" ref="J44:J49" si="6">SUM(E44:I44)</f>
        <v>4.0449999999999999</v>
      </c>
      <c r="K44" s="94"/>
    </row>
    <row r="45" spans="3:11" x14ac:dyDescent="0.25">
      <c r="C45" s="131"/>
      <c r="D45" s="25" t="s">
        <v>31</v>
      </c>
      <c r="E45" s="26">
        <v>0</v>
      </c>
      <c r="F45" s="26">
        <v>7</v>
      </c>
      <c r="G45" s="26">
        <v>13</v>
      </c>
      <c r="H45" s="26">
        <v>5</v>
      </c>
      <c r="I45" s="39">
        <v>0.28399999999999997</v>
      </c>
      <c r="J45" s="38">
        <f t="shared" si="6"/>
        <v>25.283999999999999</v>
      </c>
      <c r="K45" s="94"/>
    </row>
    <row r="46" spans="3:11" x14ac:dyDescent="0.25">
      <c r="C46" s="131"/>
      <c r="D46" s="25" t="s">
        <v>32</v>
      </c>
      <c r="E46" s="26">
        <v>0</v>
      </c>
      <c r="F46" s="26">
        <v>1</v>
      </c>
      <c r="G46" s="26">
        <v>2</v>
      </c>
      <c r="H46" s="26">
        <v>8</v>
      </c>
      <c r="I46" s="39">
        <v>0.125</v>
      </c>
      <c r="J46" s="38">
        <f t="shared" si="6"/>
        <v>11.125</v>
      </c>
      <c r="K46" s="94"/>
    </row>
    <row r="47" spans="3:11" x14ac:dyDescent="0.25">
      <c r="C47" s="131"/>
      <c r="D47" s="25" t="s">
        <v>33</v>
      </c>
      <c r="E47" s="26">
        <v>0</v>
      </c>
      <c r="F47" s="26">
        <v>2</v>
      </c>
      <c r="G47" s="26">
        <v>4</v>
      </c>
      <c r="H47" s="26">
        <v>7</v>
      </c>
      <c r="I47" s="39">
        <v>0.14799999999999999</v>
      </c>
      <c r="J47" s="38">
        <f t="shared" si="6"/>
        <v>13.148</v>
      </c>
      <c r="K47" s="94"/>
    </row>
    <row r="48" spans="3:11" x14ac:dyDescent="0.25">
      <c r="C48" s="131"/>
      <c r="D48" s="25" t="s">
        <v>34</v>
      </c>
      <c r="E48" s="26">
        <v>0</v>
      </c>
      <c r="F48" s="26">
        <v>3</v>
      </c>
      <c r="G48" s="26">
        <v>3</v>
      </c>
      <c r="H48" s="26">
        <v>19</v>
      </c>
      <c r="I48" s="39">
        <v>0.28399999999999997</v>
      </c>
      <c r="J48" s="38">
        <f t="shared" si="6"/>
        <v>25.283999999999999</v>
      </c>
      <c r="K48" s="94"/>
    </row>
    <row r="49" spans="3:11" x14ac:dyDescent="0.25">
      <c r="C49" s="131"/>
      <c r="D49" s="25" t="s">
        <v>35</v>
      </c>
      <c r="E49" s="26">
        <v>0</v>
      </c>
      <c r="F49" s="26">
        <v>1</v>
      </c>
      <c r="G49" s="26">
        <v>5</v>
      </c>
      <c r="H49" s="26">
        <v>4</v>
      </c>
      <c r="I49" s="39">
        <v>0.114</v>
      </c>
      <c r="J49" s="38">
        <f t="shared" si="6"/>
        <v>10.114000000000001</v>
      </c>
      <c r="K49" s="94"/>
    </row>
    <row r="50" spans="3:11" ht="15.75" thickBot="1" x14ac:dyDescent="0.3">
      <c r="C50" s="124" t="s">
        <v>7</v>
      </c>
      <c r="D50" s="125"/>
      <c r="E50" s="30">
        <f>SUM(E44:E49)</f>
        <v>4</v>
      </c>
      <c r="F50" s="30">
        <f t="shared" ref="F50:J50" si="7">SUM(F44:F49)</f>
        <v>14</v>
      </c>
      <c r="G50" s="30">
        <f t="shared" si="7"/>
        <v>27</v>
      </c>
      <c r="H50" s="30">
        <f t="shared" si="7"/>
        <v>43</v>
      </c>
      <c r="I50" s="99">
        <f t="shared" si="7"/>
        <v>0.99999999999999989</v>
      </c>
      <c r="J50" s="30">
        <f t="shared" si="7"/>
        <v>89</v>
      </c>
      <c r="K50" s="94"/>
    </row>
    <row r="53" spans="3:11" ht="15.75" thickBot="1" x14ac:dyDescent="0.3">
      <c r="C53" s="121" t="s">
        <v>175</v>
      </c>
      <c r="D53" s="121"/>
      <c r="E53" s="121"/>
      <c r="F53" s="121"/>
      <c r="G53" s="121"/>
      <c r="H53" s="121"/>
      <c r="I53" s="121"/>
      <c r="J53" s="121"/>
    </row>
    <row r="54" spans="3:11" x14ac:dyDescent="0.25">
      <c r="C54" s="122" t="s">
        <v>0</v>
      </c>
      <c r="D54" s="123"/>
      <c r="E54" s="123" t="s">
        <v>169</v>
      </c>
      <c r="F54" s="123"/>
      <c r="G54" s="123"/>
      <c r="H54" s="123"/>
      <c r="I54" s="136" t="s">
        <v>59</v>
      </c>
      <c r="J54" s="126" t="s">
        <v>7</v>
      </c>
    </row>
    <row r="55" spans="3:11" ht="15.75" thickBot="1" x14ac:dyDescent="0.3">
      <c r="C55" s="124"/>
      <c r="D55" s="125"/>
      <c r="E55" s="89" t="s">
        <v>47</v>
      </c>
      <c r="F55" s="89" t="s">
        <v>4</v>
      </c>
      <c r="G55" s="89" t="s">
        <v>5</v>
      </c>
      <c r="H55" s="89" t="s">
        <v>6</v>
      </c>
      <c r="I55" s="137"/>
      <c r="J55" s="127"/>
    </row>
    <row r="56" spans="3:11" x14ac:dyDescent="0.25">
      <c r="C56" s="130" t="s">
        <v>49</v>
      </c>
      <c r="D56" s="29"/>
      <c r="E56" s="34">
        <v>4</v>
      </c>
      <c r="F56" s="34">
        <v>0</v>
      </c>
      <c r="G56" s="34">
        <v>0</v>
      </c>
      <c r="H56" s="34">
        <v>0</v>
      </c>
      <c r="I56" s="37">
        <v>4.4999999999999998E-2</v>
      </c>
      <c r="J56" s="38">
        <f t="shared" ref="J56:J61" si="8">SUM(E56:I56)</f>
        <v>4.0449999999999999</v>
      </c>
      <c r="K56" s="94"/>
    </row>
    <row r="57" spans="3:11" x14ac:dyDescent="0.25">
      <c r="C57" s="131"/>
      <c r="D57" s="25" t="s">
        <v>31</v>
      </c>
      <c r="E57" s="26">
        <v>0</v>
      </c>
      <c r="F57" s="26">
        <v>5</v>
      </c>
      <c r="G57" s="26">
        <v>8</v>
      </c>
      <c r="H57" s="26">
        <v>9</v>
      </c>
      <c r="I57" s="39">
        <v>0.25</v>
      </c>
      <c r="J57" s="38">
        <f t="shared" si="8"/>
        <v>22.25</v>
      </c>
      <c r="K57" s="94"/>
    </row>
    <row r="58" spans="3:11" x14ac:dyDescent="0.25">
      <c r="C58" s="131"/>
      <c r="D58" s="25" t="s">
        <v>32</v>
      </c>
      <c r="E58" s="26">
        <v>0</v>
      </c>
      <c r="F58" s="26">
        <v>0</v>
      </c>
      <c r="G58" s="26">
        <v>3</v>
      </c>
      <c r="H58" s="26">
        <v>5</v>
      </c>
      <c r="I58" s="39">
        <v>9.0999999999999998E-2</v>
      </c>
      <c r="J58" s="38">
        <f t="shared" si="8"/>
        <v>8.0909999999999993</v>
      </c>
      <c r="K58" s="94"/>
    </row>
    <row r="59" spans="3:11" x14ac:dyDescent="0.25">
      <c r="C59" s="131"/>
      <c r="D59" s="25" t="s">
        <v>33</v>
      </c>
      <c r="E59" s="26">
        <v>0</v>
      </c>
      <c r="F59" s="26">
        <v>3</v>
      </c>
      <c r="G59" s="26">
        <v>10</v>
      </c>
      <c r="H59" s="26">
        <v>9</v>
      </c>
      <c r="I59" s="39">
        <v>0.25</v>
      </c>
      <c r="J59" s="38">
        <f t="shared" si="8"/>
        <v>22.25</v>
      </c>
      <c r="K59" s="94"/>
    </row>
    <row r="60" spans="3:11" x14ac:dyDescent="0.25">
      <c r="C60" s="131"/>
      <c r="D60" s="25" t="s">
        <v>34</v>
      </c>
      <c r="E60" s="26">
        <v>0</v>
      </c>
      <c r="F60" s="26">
        <v>4</v>
      </c>
      <c r="G60" s="26">
        <v>5</v>
      </c>
      <c r="H60" s="26">
        <v>18</v>
      </c>
      <c r="I60" s="39">
        <v>0.307</v>
      </c>
      <c r="J60" s="38">
        <f t="shared" si="8"/>
        <v>27.306999999999999</v>
      </c>
      <c r="K60" s="94"/>
    </row>
    <row r="61" spans="3:11" x14ac:dyDescent="0.25">
      <c r="C61" s="131"/>
      <c r="D61" s="25" t="s">
        <v>35</v>
      </c>
      <c r="E61" s="26">
        <v>0</v>
      </c>
      <c r="F61" s="26">
        <v>2</v>
      </c>
      <c r="G61" s="26">
        <v>1</v>
      </c>
      <c r="H61" s="26">
        <v>2</v>
      </c>
      <c r="I61" s="39">
        <v>5.7000000000000002E-2</v>
      </c>
      <c r="J61" s="38">
        <f t="shared" si="8"/>
        <v>5.0570000000000004</v>
      </c>
      <c r="K61" s="94"/>
    </row>
    <row r="62" spans="3:11" ht="15.75" thickBot="1" x14ac:dyDescent="0.3">
      <c r="C62" s="124" t="s">
        <v>7</v>
      </c>
      <c r="D62" s="125"/>
      <c r="E62" s="30">
        <f>SUM(E56:E61)</f>
        <v>4</v>
      </c>
      <c r="F62" s="30">
        <f t="shared" ref="F62:I62" si="9">SUM(F56:F61)</f>
        <v>14</v>
      </c>
      <c r="G62" s="30">
        <f t="shared" si="9"/>
        <v>27</v>
      </c>
      <c r="H62" s="30">
        <f t="shared" si="9"/>
        <v>43</v>
      </c>
      <c r="I62" s="99">
        <f t="shared" si="9"/>
        <v>1</v>
      </c>
      <c r="J62" s="30">
        <v>88</v>
      </c>
    </row>
    <row r="65" spans="3:11" ht="15.75" thickBot="1" x14ac:dyDescent="0.3">
      <c r="C65" s="121" t="s">
        <v>176</v>
      </c>
      <c r="D65" s="121"/>
      <c r="E65" s="121"/>
      <c r="F65" s="121"/>
      <c r="G65" s="121"/>
      <c r="H65" s="121"/>
      <c r="I65" s="121"/>
      <c r="J65" s="121"/>
    </row>
    <row r="66" spans="3:11" x14ac:dyDescent="0.25">
      <c r="C66" s="122" t="s">
        <v>0</v>
      </c>
      <c r="D66" s="123"/>
      <c r="E66" s="123" t="s">
        <v>169</v>
      </c>
      <c r="F66" s="123"/>
      <c r="G66" s="123"/>
      <c r="H66" s="123"/>
      <c r="I66" s="136" t="s">
        <v>59</v>
      </c>
      <c r="J66" s="126" t="s">
        <v>7</v>
      </c>
    </row>
    <row r="67" spans="3:11" ht="15.75" thickBot="1" x14ac:dyDescent="0.3">
      <c r="C67" s="124"/>
      <c r="D67" s="125"/>
      <c r="E67" s="89" t="s">
        <v>47</v>
      </c>
      <c r="F67" s="89" t="s">
        <v>4</v>
      </c>
      <c r="G67" s="89" t="s">
        <v>5</v>
      </c>
      <c r="H67" s="89" t="s">
        <v>6</v>
      </c>
      <c r="I67" s="137"/>
      <c r="J67" s="127"/>
    </row>
    <row r="68" spans="3:11" x14ac:dyDescent="0.25">
      <c r="C68" s="130" t="s">
        <v>45</v>
      </c>
      <c r="D68" s="29"/>
      <c r="E68" s="34">
        <v>4</v>
      </c>
      <c r="F68" s="34">
        <v>0</v>
      </c>
      <c r="G68" s="34">
        <v>0</v>
      </c>
      <c r="H68" s="34">
        <v>0</v>
      </c>
      <c r="I68" s="37">
        <v>4.4999999999999998E-2</v>
      </c>
      <c r="J68" s="38">
        <f t="shared" ref="J68:J73" si="10">SUM(E68:I68)</f>
        <v>4.0449999999999999</v>
      </c>
      <c r="K68" s="94"/>
    </row>
    <row r="69" spans="3:11" x14ac:dyDescent="0.25">
      <c r="C69" s="131"/>
      <c r="D69" s="25" t="s">
        <v>31</v>
      </c>
      <c r="E69" s="26">
        <v>0</v>
      </c>
      <c r="F69" s="26">
        <v>4</v>
      </c>
      <c r="G69" s="26">
        <v>12</v>
      </c>
      <c r="H69" s="26">
        <v>7</v>
      </c>
      <c r="I69" s="39">
        <v>0.26100000000000001</v>
      </c>
      <c r="J69" s="38">
        <f t="shared" si="10"/>
        <v>23.260999999999999</v>
      </c>
      <c r="K69" s="94"/>
    </row>
    <row r="70" spans="3:11" x14ac:dyDescent="0.25">
      <c r="C70" s="131"/>
      <c r="D70" s="25" t="s">
        <v>32</v>
      </c>
      <c r="E70" s="26">
        <v>0</v>
      </c>
      <c r="F70" s="26">
        <v>1</v>
      </c>
      <c r="G70" s="26">
        <v>2</v>
      </c>
      <c r="H70" s="26">
        <v>10</v>
      </c>
      <c r="I70" s="39">
        <v>0.14899999999999999</v>
      </c>
      <c r="J70" s="38">
        <f t="shared" si="10"/>
        <v>13.148999999999999</v>
      </c>
      <c r="K70" s="94"/>
    </row>
    <row r="71" spans="3:11" x14ac:dyDescent="0.25">
      <c r="C71" s="131"/>
      <c r="D71" s="25" t="s">
        <v>33</v>
      </c>
      <c r="E71" s="26">
        <v>0</v>
      </c>
      <c r="F71" s="26">
        <v>0</v>
      </c>
      <c r="G71" s="26">
        <v>1</v>
      </c>
      <c r="H71" s="26">
        <v>2</v>
      </c>
      <c r="I71" s="39">
        <v>3.4000000000000002E-2</v>
      </c>
      <c r="J71" s="38">
        <f t="shared" si="10"/>
        <v>3.0339999999999998</v>
      </c>
      <c r="K71" s="94"/>
    </row>
    <row r="72" spans="3:11" x14ac:dyDescent="0.25">
      <c r="C72" s="131"/>
      <c r="D72" s="25" t="s">
        <v>34</v>
      </c>
      <c r="E72" s="26">
        <v>0</v>
      </c>
      <c r="F72" s="26">
        <v>0</v>
      </c>
      <c r="G72" s="26">
        <v>8</v>
      </c>
      <c r="H72" s="26">
        <v>11</v>
      </c>
      <c r="I72" s="39">
        <v>0.216</v>
      </c>
      <c r="J72" s="38">
        <f t="shared" si="10"/>
        <v>19.216000000000001</v>
      </c>
      <c r="K72" s="94"/>
    </row>
    <row r="73" spans="3:11" x14ac:dyDescent="0.25">
      <c r="C73" s="131"/>
      <c r="D73" s="25" t="s">
        <v>35</v>
      </c>
      <c r="E73" s="26">
        <v>0</v>
      </c>
      <c r="F73" s="26">
        <v>9</v>
      </c>
      <c r="G73" s="26">
        <v>4</v>
      </c>
      <c r="H73" s="26">
        <v>13</v>
      </c>
      <c r="I73" s="39">
        <v>0.29499999999999998</v>
      </c>
      <c r="J73" s="38">
        <f t="shared" si="10"/>
        <v>26.295000000000002</v>
      </c>
      <c r="K73" s="94"/>
    </row>
    <row r="74" spans="3:11" ht="15.75" thickBot="1" x14ac:dyDescent="0.3">
      <c r="C74" s="124" t="s">
        <v>7</v>
      </c>
      <c r="D74" s="125"/>
      <c r="E74" s="30">
        <f>SUM(E68:E73)</f>
        <v>4</v>
      </c>
      <c r="F74" s="30">
        <f t="shared" ref="F74:I74" si="11">SUM(F68:F73)</f>
        <v>14</v>
      </c>
      <c r="G74" s="30">
        <f t="shared" si="11"/>
        <v>27</v>
      </c>
      <c r="H74" s="30">
        <f t="shared" si="11"/>
        <v>43</v>
      </c>
      <c r="I74" s="99">
        <f t="shared" si="11"/>
        <v>1</v>
      </c>
      <c r="J74" s="30">
        <v>88</v>
      </c>
    </row>
    <row r="77" spans="3:11" ht="15.75" thickBot="1" x14ac:dyDescent="0.3">
      <c r="C77" s="121" t="s">
        <v>177</v>
      </c>
      <c r="D77" s="121"/>
      <c r="E77" s="121"/>
      <c r="F77" s="121"/>
      <c r="G77" s="121"/>
      <c r="H77" s="121"/>
      <c r="I77" s="121"/>
      <c r="J77" s="121"/>
    </row>
    <row r="78" spans="3:11" x14ac:dyDescent="0.25">
      <c r="C78" s="122" t="s">
        <v>0</v>
      </c>
      <c r="D78" s="123"/>
      <c r="E78" s="123" t="s">
        <v>169</v>
      </c>
      <c r="F78" s="123"/>
      <c r="G78" s="123"/>
      <c r="H78" s="123"/>
      <c r="I78" s="136" t="s">
        <v>59</v>
      </c>
      <c r="J78" s="126" t="s">
        <v>7</v>
      </c>
    </row>
    <row r="79" spans="3:11" ht="15.75" thickBot="1" x14ac:dyDescent="0.3">
      <c r="C79" s="124"/>
      <c r="D79" s="125"/>
      <c r="E79" s="89" t="s">
        <v>47</v>
      </c>
      <c r="F79" s="89" t="s">
        <v>4</v>
      </c>
      <c r="G79" s="89" t="s">
        <v>5</v>
      </c>
      <c r="H79" s="89" t="s">
        <v>6</v>
      </c>
      <c r="I79" s="137"/>
      <c r="J79" s="127"/>
    </row>
    <row r="80" spans="3:11" x14ac:dyDescent="0.25">
      <c r="C80" s="130" t="s">
        <v>51</v>
      </c>
      <c r="D80" s="29"/>
      <c r="E80" s="34">
        <v>4</v>
      </c>
      <c r="F80" s="34">
        <v>0</v>
      </c>
      <c r="G80" s="34">
        <v>0</v>
      </c>
      <c r="H80" s="34">
        <v>0</v>
      </c>
      <c r="I80" s="37">
        <v>4.4999999999999998E-2</v>
      </c>
      <c r="J80" s="38">
        <f t="shared" ref="J80:J85" si="12">SUM(E80:I80)</f>
        <v>4.0449999999999999</v>
      </c>
      <c r="K80" s="94"/>
    </row>
    <row r="81" spans="3:11" x14ac:dyDescent="0.25">
      <c r="C81" s="131"/>
      <c r="D81" s="25" t="s">
        <v>31</v>
      </c>
      <c r="E81" s="26">
        <v>0</v>
      </c>
      <c r="F81" s="26">
        <v>7</v>
      </c>
      <c r="G81" s="26">
        <v>8</v>
      </c>
      <c r="H81" s="26">
        <v>12</v>
      </c>
      <c r="I81" s="39">
        <v>0.307</v>
      </c>
      <c r="J81" s="38">
        <f t="shared" si="12"/>
        <v>27.306999999999999</v>
      </c>
      <c r="K81" s="94"/>
    </row>
    <row r="82" spans="3:11" x14ac:dyDescent="0.25">
      <c r="C82" s="131"/>
      <c r="D82" s="25" t="s">
        <v>32</v>
      </c>
      <c r="E82" s="26">
        <v>0</v>
      </c>
      <c r="F82" s="26">
        <v>0</v>
      </c>
      <c r="G82" s="26">
        <v>3</v>
      </c>
      <c r="H82" s="26">
        <v>10</v>
      </c>
      <c r="I82" s="39">
        <v>0.14899999999999999</v>
      </c>
      <c r="J82" s="38">
        <f t="shared" si="12"/>
        <v>13.148999999999999</v>
      </c>
      <c r="K82" s="94"/>
    </row>
    <row r="83" spans="3:11" x14ac:dyDescent="0.25">
      <c r="C83" s="131"/>
      <c r="D83" s="25" t="s">
        <v>33</v>
      </c>
      <c r="E83" s="26">
        <v>0</v>
      </c>
      <c r="F83" s="26">
        <v>3</v>
      </c>
      <c r="G83" s="26">
        <v>7</v>
      </c>
      <c r="H83" s="26">
        <v>4</v>
      </c>
      <c r="I83" s="39">
        <v>0.159</v>
      </c>
      <c r="J83" s="38">
        <f t="shared" si="12"/>
        <v>14.159000000000001</v>
      </c>
      <c r="K83" s="94"/>
    </row>
    <row r="84" spans="3:11" x14ac:dyDescent="0.25">
      <c r="C84" s="131"/>
      <c r="D84" s="25" t="s">
        <v>34</v>
      </c>
      <c r="E84" s="26">
        <v>0</v>
      </c>
      <c r="F84" s="26">
        <v>2</v>
      </c>
      <c r="G84" s="26">
        <v>1</v>
      </c>
      <c r="H84" s="26">
        <v>12</v>
      </c>
      <c r="I84" s="39">
        <v>0.17</v>
      </c>
      <c r="J84" s="38">
        <f t="shared" si="12"/>
        <v>15.17</v>
      </c>
      <c r="K84" s="94"/>
    </row>
    <row r="85" spans="3:11" x14ac:dyDescent="0.25">
      <c r="C85" s="131"/>
      <c r="D85" s="25" t="s">
        <v>35</v>
      </c>
      <c r="E85" s="26">
        <v>0</v>
      </c>
      <c r="F85" s="26">
        <v>2</v>
      </c>
      <c r="G85" s="26">
        <v>8</v>
      </c>
      <c r="H85" s="26">
        <v>5</v>
      </c>
      <c r="I85" s="39">
        <v>0.17</v>
      </c>
      <c r="J85" s="38">
        <f t="shared" si="12"/>
        <v>15.17</v>
      </c>
      <c r="K85" s="94"/>
    </row>
    <row r="86" spans="3:11" ht="15.75" thickBot="1" x14ac:dyDescent="0.3">
      <c r="C86" s="124" t="s">
        <v>7</v>
      </c>
      <c r="D86" s="125"/>
      <c r="E86" s="30">
        <f>SUM(E80:E85)</f>
        <v>4</v>
      </c>
      <c r="F86" s="30">
        <f t="shared" ref="F86:I86" si="13">SUM(F80:F85)</f>
        <v>14</v>
      </c>
      <c r="G86" s="30">
        <f t="shared" si="13"/>
        <v>27</v>
      </c>
      <c r="H86" s="30">
        <f t="shared" si="13"/>
        <v>43</v>
      </c>
      <c r="I86" s="99">
        <f t="shared" si="13"/>
        <v>1</v>
      </c>
      <c r="J86" s="30">
        <v>88</v>
      </c>
    </row>
    <row r="89" spans="3:11" ht="15.75" thickBot="1" x14ac:dyDescent="0.3">
      <c r="C89" s="121" t="s">
        <v>178</v>
      </c>
      <c r="D89" s="121"/>
      <c r="E89" s="121"/>
      <c r="F89" s="121"/>
      <c r="G89" s="121"/>
      <c r="H89" s="121"/>
      <c r="I89" s="121"/>
      <c r="J89" s="121"/>
    </row>
    <row r="90" spans="3:11" x14ac:dyDescent="0.25">
      <c r="C90" s="122" t="s">
        <v>0</v>
      </c>
      <c r="D90" s="123"/>
      <c r="E90" s="123" t="s">
        <v>169</v>
      </c>
      <c r="F90" s="123"/>
      <c r="G90" s="123"/>
      <c r="H90" s="123"/>
      <c r="I90" s="136" t="s">
        <v>59</v>
      </c>
      <c r="J90" s="126" t="s">
        <v>7</v>
      </c>
    </row>
    <row r="91" spans="3:11" ht="15.75" thickBot="1" x14ac:dyDescent="0.3">
      <c r="C91" s="124"/>
      <c r="D91" s="125"/>
      <c r="E91" s="89" t="s">
        <v>47</v>
      </c>
      <c r="F91" s="89" t="s">
        <v>4</v>
      </c>
      <c r="G91" s="89" t="s">
        <v>5</v>
      </c>
      <c r="H91" s="89" t="s">
        <v>6</v>
      </c>
      <c r="I91" s="137"/>
      <c r="J91" s="127"/>
    </row>
    <row r="92" spans="3:11" x14ac:dyDescent="0.25">
      <c r="C92" s="130" t="s">
        <v>52</v>
      </c>
      <c r="D92" s="29"/>
      <c r="E92" s="34">
        <v>4</v>
      </c>
      <c r="F92" s="34">
        <v>0</v>
      </c>
      <c r="G92" s="34">
        <v>0</v>
      </c>
      <c r="H92" s="34">
        <v>0</v>
      </c>
      <c r="I92" s="37">
        <v>4.4999999999999998E-2</v>
      </c>
      <c r="J92" s="38">
        <f t="shared" ref="J92:J97" si="14">SUM(E92:I92)</f>
        <v>4.0449999999999999</v>
      </c>
      <c r="K92" s="94"/>
    </row>
    <row r="93" spans="3:11" x14ac:dyDescent="0.25">
      <c r="C93" s="131"/>
      <c r="D93" s="25" t="s">
        <v>31</v>
      </c>
      <c r="E93" s="26">
        <v>0</v>
      </c>
      <c r="F93" s="26">
        <v>3</v>
      </c>
      <c r="G93" s="26">
        <v>4</v>
      </c>
      <c r="H93" s="26">
        <v>7</v>
      </c>
      <c r="I93" s="39">
        <v>0.159</v>
      </c>
      <c r="J93" s="38">
        <f t="shared" si="14"/>
        <v>14.159000000000001</v>
      </c>
      <c r="K93" s="94"/>
    </row>
    <row r="94" spans="3:11" x14ac:dyDescent="0.25">
      <c r="C94" s="131"/>
      <c r="D94" s="25" t="s">
        <v>32</v>
      </c>
      <c r="E94" s="26">
        <v>0</v>
      </c>
      <c r="F94" s="26">
        <v>0</v>
      </c>
      <c r="G94" s="26">
        <v>1</v>
      </c>
      <c r="H94" s="26">
        <v>3</v>
      </c>
      <c r="I94" s="39">
        <v>4.4999999999999998E-2</v>
      </c>
      <c r="J94" s="38">
        <f t="shared" si="14"/>
        <v>4.0449999999999999</v>
      </c>
      <c r="K94" s="94"/>
    </row>
    <row r="95" spans="3:11" x14ac:dyDescent="0.25">
      <c r="C95" s="131"/>
      <c r="D95" s="25" t="s">
        <v>33</v>
      </c>
      <c r="E95" s="26">
        <v>0</v>
      </c>
      <c r="F95" s="26">
        <v>4</v>
      </c>
      <c r="G95" s="26">
        <v>13</v>
      </c>
      <c r="H95" s="26">
        <v>8</v>
      </c>
      <c r="I95" s="39">
        <v>0.28399999999999997</v>
      </c>
      <c r="J95" s="38">
        <f t="shared" si="14"/>
        <v>25.283999999999999</v>
      </c>
      <c r="K95" s="94"/>
    </row>
    <row r="96" spans="3:11" x14ac:dyDescent="0.25">
      <c r="C96" s="131"/>
      <c r="D96" s="25" t="s">
        <v>34</v>
      </c>
      <c r="E96" s="26">
        <v>0</v>
      </c>
      <c r="F96" s="26">
        <v>3</v>
      </c>
      <c r="G96" s="26">
        <v>3</v>
      </c>
      <c r="H96" s="26">
        <v>19</v>
      </c>
      <c r="I96" s="39">
        <v>0.28399999999999997</v>
      </c>
      <c r="J96" s="38">
        <f t="shared" si="14"/>
        <v>25.283999999999999</v>
      </c>
      <c r="K96" s="94"/>
    </row>
    <row r="97" spans="3:11" x14ac:dyDescent="0.25">
      <c r="C97" s="131"/>
      <c r="D97" s="25" t="s">
        <v>35</v>
      </c>
      <c r="E97" s="26">
        <v>0</v>
      </c>
      <c r="F97" s="26">
        <v>4</v>
      </c>
      <c r="G97" s="26">
        <v>6</v>
      </c>
      <c r="H97" s="26">
        <v>6</v>
      </c>
      <c r="I97" s="39">
        <v>0.182</v>
      </c>
      <c r="J97" s="38">
        <f t="shared" si="14"/>
        <v>16.181999999999999</v>
      </c>
      <c r="K97" s="94"/>
    </row>
    <row r="98" spans="3:11" ht="15.75" thickBot="1" x14ac:dyDescent="0.3">
      <c r="C98" s="124" t="s">
        <v>7</v>
      </c>
      <c r="D98" s="125"/>
      <c r="E98" s="30">
        <f>SUM(E92:E97)</f>
        <v>4</v>
      </c>
      <c r="F98" s="30">
        <f t="shared" ref="F98:I98" si="15">SUM(F92:F97)</f>
        <v>14</v>
      </c>
      <c r="G98" s="30">
        <f t="shared" si="15"/>
        <v>27</v>
      </c>
      <c r="H98" s="30">
        <f t="shared" si="15"/>
        <v>43</v>
      </c>
      <c r="I98" s="98">
        <f t="shared" si="15"/>
        <v>0.99899999999999989</v>
      </c>
      <c r="J98" s="30">
        <v>88</v>
      </c>
    </row>
    <row r="101" spans="3:11" ht="15.75" thickBot="1" x14ac:dyDescent="0.3">
      <c r="C101" s="121" t="s">
        <v>179</v>
      </c>
      <c r="D101" s="121"/>
      <c r="E101" s="121"/>
      <c r="F101" s="121"/>
      <c r="G101" s="121"/>
      <c r="H101" s="121"/>
      <c r="I101" s="121"/>
      <c r="J101" s="121"/>
    </row>
    <row r="102" spans="3:11" x14ac:dyDescent="0.25">
      <c r="C102" s="122" t="s">
        <v>0</v>
      </c>
      <c r="D102" s="123"/>
      <c r="E102" s="123" t="s">
        <v>169</v>
      </c>
      <c r="F102" s="123"/>
      <c r="G102" s="123"/>
      <c r="H102" s="123"/>
      <c r="I102" s="136" t="s">
        <v>59</v>
      </c>
      <c r="J102" s="126" t="s">
        <v>7</v>
      </c>
    </row>
    <row r="103" spans="3:11" ht="15.75" thickBot="1" x14ac:dyDescent="0.3">
      <c r="C103" s="124"/>
      <c r="D103" s="125"/>
      <c r="E103" s="89" t="s">
        <v>47</v>
      </c>
      <c r="F103" s="89" t="s">
        <v>4</v>
      </c>
      <c r="G103" s="89" t="s">
        <v>5</v>
      </c>
      <c r="H103" s="89" t="s">
        <v>6</v>
      </c>
      <c r="I103" s="137"/>
      <c r="J103" s="127"/>
    </row>
    <row r="104" spans="3:11" x14ac:dyDescent="0.25">
      <c r="C104" s="130" t="s">
        <v>54</v>
      </c>
      <c r="D104" s="29"/>
      <c r="E104" s="34">
        <v>4</v>
      </c>
      <c r="F104" s="34">
        <v>0</v>
      </c>
      <c r="G104" s="34">
        <v>0</v>
      </c>
      <c r="H104" s="34">
        <v>0</v>
      </c>
      <c r="I104" s="37">
        <v>4.4999999999999998E-2</v>
      </c>
      <c r="J104" s="38">
        <f t="shared" ref="J104:J109" si="16">SUM(E104:I104)</f>
        <v>4.0449999999999999</v>
      </c>
      <c r="K104" s="94"/>
    </row>
    <row r="105" spans="3:11" x14ac:dyDescent="0.25">
      <c r="C105" s="131"/>
      <c r="D105" s="25" t="s">
        <v>31</v>
      </c>
      <c r="E105" s="26">
        <v>0</v>
      </c>
      <c r="F105" s="26">
        <v>3</v>
      </c>
      <c r="G105" s="26">
        <v>4</v>
      </c>
      <c r="H105" s="26">
        <v>11</v>
      </c>
      <c r="I105" s="39">
        <v>0.20499999999999999</v>
      </c>
      <c r="J105" s="38">
        <f t="shared" si="16"/>
        <v>18.204999999999998</v>
      </c>
      <c r="K105" s="94"/>
    </row>
    <row r="106" spans="3:11" x14ac:dyDescent="0.25">
      <c r="C106" s="131"/>
      <c r="D106" s="25" t="s">
        <v>32</v>
      </c>
      <c r="E106" s="26">
        <v>0</v>
      </c>
      <c r="F106" s="26">
        <v>0</v>
      </c>
      <c r="G106" s="26">
        <v>3</v>
      </c>
      <c r="H106" s="26">
        <v>4</v>
      </c>
      <c r="I106" s="39">
        <v>0.08</v>
      </c>
      <c r="J106" s="38">
        <f t="shared" si="16"/>
        <v>7.08</v>
      </c>
      <c r="K106" s="94"/>
    </row>
    <row r="107" spans="3:11" x14ac:dyDescent="0.25">
      <c r="C107" s="131"/>
      <c r="D107" s="25" t="s">
        <v>33</v>
      </c>
      <c r="E107" s="26">
        <v>0</v>
      </c>
      <c r="F107" s="26">
        <v>2</v>
      </c>
      <c r="G107" s="26">
        <v>4</v>
      </c>
      <c r="H107" s="26">
        <v>5</v>
      </c>
      <c r="I107" s="39">
        <v>0.125</v>
      </c>
      <c r="J107" s="38">
        <f t="shared" si="16"/>
        <v>11.125</v>
      </c>
      <c r="K107" s="94"/>
    </row>
    <row r="108" spans="3:11" x14ac:dyDescent="0.25">
      <c r="C108" s="131"/>
      <c r="D108" s="25" t="s">
        <v>34</v>
      </c>
      <c r="E108" s="26">
        <v>0</v>
      </c>
      <c r="F108" s="26">
        <v>1</v>
      </c>
      <c r="G108" s="26">
        <v>9</v>
      </c>
      <c r="H108" s="26">
        <v>9</v>
      </c>
      <c r="I108" s="39">
        <v>0.215</v>
      </c>
      <c r="J108" s="38">
        <f t="shared" si="16"/>
        <v>19.215</v>
      </c>
      <c r="K108" s="94"/>
    </row>
    <row r="109" spans="3:11" x14ac:dyDescent="0.25">
      <c r="C109" s="131"/>
      <c r="D109" s="25" t="s">
        <v>35</v>
      </c>
      <c r="E109" s="26">
        <v>0</v>
      </c>
      <c r="F109" s="26">
        <v>8</v>
      </c>
      <c r="G109" s="26">
        <v>7</v>
      </c>
      <c r="H109" s="26">
        <v>14</v>
      </c>
      <c r="I109" s="39">
        <v>0.33</v>
      </c>
      <c r="J109" s="38">
        <f t="shared" si="16"/>
        <v>29.33</v>
      </c>
      <c r="K109" s="94"/>
    </row>
    <row r="110" spans="3:11" ht="15.75" thickBot="1" x14ac:dyDescent="0.3">
      <c r="C110" s="124" t="s">
        <v>7</v>
      </c>
      <c r="D110" s="125"/>
      <c r="E110" s="30">
        <f>SUM(E104:E109)</f>
        <v>4</v>
      </c>
      <c r="F110" s="30">
        <f t="shared" ref="F110:I110" si="17">SUM(F104:F109)</f>
        <v>14</v>
      </c>
      <c r="G110" s="30">
        <f t="shared" si="17"/>
        <v>27</v>
      </c>
      <c r="H110" s="30">
        <f t="shared" si="17"/>
        <v>43</v>
      </c>
      <c r="I110" s="98">
        <f t="shared" si="17"/>
        <v>1</v>
      </c>
      <c r="J110" s="30">
        <v>88</v>
      </c>
    </row>
    <row r="113" spans="3:11" ht="15.75" thickBot="1" x14ac:dyDescent="0.3">
      <c r="C113" s="121" t="s">
        <v>180</v>
      </c>
      <c r="D113" s="121"/>
      <c r="E113" s="121"/>
      <c r="F113" s="121"/>
      <c r="G113" s="121"/>
      <c r="H113" s="121"/>
      <c r="I113" s="121"/>
      <c r="J113" s="121"/>
    </row>
    <row r="114" spans="3:11" x14ac:dyDescent="0.25">
      <c r="C114" s="122"/>
      <c r="D114" s="123"/>
      <c r="E114" s="123" t="s">
        <v>169</v>
      </c>
      <c r="F114" s="123"/>
      <c r="G114" s="123"/>
      <c r="H114" s="123"/>
      <c r="I114" s="136" t="s">
        <v>59</v>
      </c>
      <c r="J114" s="126" t="s">
        <v>7</v>
      </c>
    </row>
    <row r="115" spans="3:11" ht="15.75" thickBot="1" x14ac:dyDescent="0.3">
      <c r="C115" s="124"/>
      <c r="D115" s="125"/>
      <c r="E115" s="89" t="s">
        <v>47</v>
      </c>
      <c r="F115" s="89" t="s">
        <v>4</v>
      </c>
      <c r="G115" s="89" t="s">
        <v>5</v>
      </c>
      <c r="H115" s="89" t="s">
        <v>6</v>
      </c>
      <c r="I115" s="137"/>
      <c r="J115" s="127"/>
    </row>
    <row r="116" spans="3:11" x14ac:dyDescent="0.25">
      <c r="C116" s="130" t="s">
        <v>56</v>
      </c>
      <c r="D116" s="29"/>
      <c r="E116" s="34">
        <v>4</v>
      </c>
      <c r="F116" s="34">
        <v>0</v>
      </c>
      <c r="G116" s="34">
        <v>0</v>
      </c>
      <c r="H116" s="34">
        <v>0</v>
      </c>
      <c r="I116" s="37">
        <v>4.4999999999999998E-2</v>
      </c>
      <c r="J116" s="38">
        <f t="shared" ref="J116:J121" si="18">SUM(E116:I116)</f>
        <v>4.0449999999999999</v>
      </c>
      <c r="K116" s="94"/>
    </row>
    <row r="117" spans="3:11" x14ac:dyDescent="0.25">
      <c r="C117" s="131"/>
      <c r="D117" s="25" t="s">
        <v>31</v>
      </c>
      <c r="E117" s="26">
        <v>0</v>
      </c>
      <c r="F117" s="26">
        <v>1</v>
      </c>
      <c r="G117" s="26">
        <v>3</v>
      </c>
      <c r="H117" s="26">
        <v>8</v>
      </c>
      <c r="I117" s="39">
        <v>0.13600000000000001</v>
      </c>
      <c r="J117" s="38">
        <f t="shared" si="18"/>
        <v>12.135999999999999</v>
      </c>
      <c r="K117" s="94"/>
    </row>
    <row r="118" spans="3:11" x14ac:dyDescent="0.25">
      <c r="C118" s="131"/>
      <c r="D118" s="25" t="s">
        <v>32</v>
      </c>
      <c r="E118" s="26">
        <v>0</v>
      </c>
      <c r="F118" s="26">
        <v>1</v>
      </c>
      <c r="G118" s="26">
        <v>1</v>
      </c>
      <c r="H118" s="26">
        <v>3</v>
      </c>
      <c r="I118" s="39">
        <v>5.7000000000000002E-2</v>
      </c>
      <c r="J118" s="38">
        <f t="shared" si="18"/>
        <v>5.0570000000000004</v>
      </c>
      <c r="K118" s="94"/>
    </row>
    <row r="119" spans="3:11" x14ac:dyDescent="0.25">
      <c r="C119" s="131"/>
      <c r="D119" s="25" t="s">
        <v>33</v>
      </c>
      <c r="E119" s="26">
        <v>0</v>
      </c>
      <c r="F119" s="26">
        <v>3</v>
      </c>
      <c r="G119" s="26">
        <v>6</v>
      </c>
      <c r="H119" s="26">
        <v>4</v>
      </c>
      <c r="I119" s="39">
        <v>0.14799999999999999</v>
      </c>
      <c r="J119" s="38">
        <f t="shared" si="18"/>
        <v>13.148</v>
      </c>
      <c r="K119" s="94"/>
    </row>
    <row r="120" spans="3:11" x14ac:dyDescent="0.25">
      <c r="C120" s="131"/>
      <c r="D120" s="25" t="s">
        <v>34</v>
      </c>
      <c r="E120" s="26">
        <v>0</v>
      </c>
      <c r="F120" s="26">
        <v>1</v>
      </c>
      <c r="G120" s="26">
        <v>5</v>
      </c>
      <c r="H120" s="26">
        <v>13</v>
      </c>
      <c r="I120" s="39">
        <v>0.216</v>
      </c>
      <c r="J120" s="38">
        <f t="shared" si="18"/>
        <v>19.216000000000001</v>
      </c>
      <c r="K120" s="94"/>
    </row>
    <row r="121" spans="3:11" x14ac:dyDescent="0.25">
      <c r="C121" s="131"/>
      <c r="D121" s="25" t="s">
        <v>35</v>
      </c>
      <c r="E121" s="26">
        <v>0</v>
      </c>
      <c r="F121" s="26">
        <v>8</v>
      </c>
      <c r="G121" s="26">
        <v>12</v>
      </c>
      <c r="H121" s="26">
        <v>15</v>
      </c>
      <c r="I121" s="39">
        <v>0.39800000000000002</v>
      </c>
      <c r="J121" s="38">
        <f t="shared" si="18"/>
        <v>35.398000000000003</v>
      </c>
      <c r="K121" s="94"/>
    </row>
    <row r="122" spans="3:11" ht="15.75" thickBot="1" x14ac:dyDescent="0.3">
      <c r="C122" s="124" t="s">
        <v>7</v>
      </c>
      <c r="D122" s="125"/>
      <c r="E122" s="30">
        <f>SUM(E116:E121)</f>
        <v>4</v>
      </c>
      <c r="F122" s="30">
        <f t="shared" ref="F122:I122" si="19">SUM(F116:F121)</f>
        <v>14</v>
      </c>
      <c r="G122" s="30">
        <f t="shared" si="19"/>
        <v>27</v>
      </c>
      <c r="H122" s="30">
        <f t="shared" si="19"/>
        <v>43</v>
      </c>
      <c r="I122" s="99">
        <f t="shared" si="19"/>
        <v>1</v>
      </c>
      <c r="J122" s="30">
        <v>88</v>
      </c>
    </row>
    <row r="125" spans="3:11" ht="15.75" thickBot="1" x14ac:dyDescent="0.3">
      <c r="C125" s="121" t="s">
        <v>181</v>
      </c>
      <c r="D125" s="121"/>
      <c r="E125" s="121"/>
      <c r="F125" s="121"/>
      <c r="G125" s="121"/>
      <c r="H125" s="121"/>
      <c r="I125" s="121"/>
      <c r="J125" s="121"/>
    </row>
    <row r="126" spans="3:11" x14ac:dyDescent="0.25">
      <c r="C126" s="122"/>
      <c r="D126" s="123"/>
      <c r="E126" s="123" t="s">
        <v>169</v>
      </c>
      <c r="F126" s="123"/>
      <c r="G126" s="123"/>
      <c r="H126" s="123"/>
      <c r="I126" s="136" t="s">
        <v>59</v>
      </c>
      <c r="J126" s="126" t="s">
        <v>7</v>
      </c>
    </row>
    <row r="127" spans="3:11" ht="15.75" thickBot="1" x14ac:dyDescent="0.3">
      <c r="C127" s="124"/>
      <c r="D127" s="125"/>
      <c r="E127" s="89" t="s">
        <v>47</v>
      </c>
      <c r="F127" s="89" t="s">
        <v>4</v>
      </c>
      <c r="G127" s="89" t="s">
        <v>5</v>
      </c>
      <c r="H127" s="89" t="s">
        <v>6</v>
      </c>
      <c r="I127" s="137"/>
      <c r="J127" s="127"/>
    </row>
    <row r="128" spans="3:11" x14ac:dyDescent="0.25">
      <c r="C128" s="130" t="s">
        <v>58</v>
      </c>
      <c r="D128" s="29"/>
      <c r="E128" s="34">
        <v>4</v>
      </c>
      <c r="F128" s="34">
        <v>0</v>
      </c>
      <c r="G128" s="34">
        <v>0</v>
      </c>
      <c r="H128" s="34">
        <v>0</v>
      </c>
      <c r="I128" s="37">
        <v>4.4999999999999998E-2</v>
      </c>
      <c r="J128" s="38">
        <f t="shared" ref="J128:J133" si="20">SUM(E128:I128)</f>
        <v>4.0449999999999999</v>
      </c>
      <c r="K128" s="94"/>
    </row>
    <row r="129" spans="3:11" x14ac:dyDescent="0.25">
      <c r="C129" s="131"/>
      <c r="D129" s="25" t="s">
        <v>31</v>
      </c>
      <c r="E129" s="26">
        <v>0</v>
      </c>
      <c r="F129" s="26">
        <v>9</v>
      </c>
      <c r="G129" s="26">
        <v>16</v>
      </c>
      <c r="H129" s="26">
        <v>5</v>
      </c>
      <c r="I129" s="39">
        <v>0.34100000000000003</v>
      </c>
      <c r="J129" s="38">
        <f t="shared" si="20"/>
        <v>30.341000000000001</v>
      </c>
      <c r="K129" s="94"/>
    </row>
    <row r="130" spans="3:11" x14ac:dyDescent="0.25">
      <c r="C130" s="131"/>
      <c r="D130" s="25" t="s">
        <v>32</v>
      </c>
      <c r="E130" s="26">
        <v>0</v>
      </c>
      <c r="F130" s="26">
        <v>2</v>
      </c>
      <c r="G130" s="26">
        <v>5</v>
      </c>
      <c r="H130" s="26">
        <v>12</v>
      </c>
      <c r="I130" s="39">
        <v>0.216</v>
      </c>
      <c r="J130" s="38">
        <f t="shared" si="20"/>
        <v>19.216000000000001</v>
      </c>
      <c r="K130" s="94"/>
    </row>
    <row r="131" spans="3:11" x14ac:dyDescent="0.25">
      <c r="C131" s="131"/>
      <c r="D131" s="25" t="s">
        <v>33</v>
      </c>
      <c r="E131" s="26">
        <v>0</v>
      </c>
      <c r="F131" s="26">
        <v>1</v>
      </c>
      <c r="G131" s="26">
        <v>4</v>
      </c>
      <c r="H131" s="26">
        <v>8</v>
      </c>
      <c r="I131" s="39">
        <v>0.14799999999999999</v>
      </c>
      <c r="J131" s="38">
        <f t="shared" si="20"/>
        <v>13.148</v>
      </c>
      <c r="K131" s="94"/>
    </row>
    <row r="132" spans="3:11" x14ac:dyDescent="0.25">
      <c r="C132" s="131"/>
      <c r="D132" s="25" t="s">
        <v>34</v>
      </c>
      <c r="E132" s="26">
        <v>0</v>
      </c>
      <c r="F132" s="26">
        <v>1</v>
      </c>
      <c r="G132" s="26">
        <v>2</v>
      </c>
      <c r="H132" s="26">
        <v>13</v>
      </c>
      <c r="I132" s="39">
        <v>0.182</v>
      </c>
      <c r="J132" s="38">
        <f t="shared" si="20"/>
        <v>16.181999999999999</v>
      </c>
      <c r="K132" s="94"/>
    </row>
    <row r="133" spans="3:11" x14ac:dyDescent="0.25">
      <c r="C133" s="131"/>
      <c r="D133" s="25" t="s">
        <v>35</v>
      </c>
      <c r="E133" s="26">
        <v>0</v>
      </c>
      <c r="F133" s="26">
        <v>1</v>
      </c>
      <c r="G133" s="26">
        <v>0</v>
      </c>
      <c r="H133" s="26">
        <v>5</v>
      </c>
      <c r="I133" s="39">
        <v>6.8000000000000005E-2</v>
      </c>
      <c r="J133" s="38">
        <f t="shared" si="20"/>
        <v>6.0679999999999996</v>
      </c>
      <c r="K133" s="94"/>
    </row>
    <row r="134" spans="3:11" ht="15.75" thickBot="1" x14ac:dyDescent="0.3">
      <c r="C134" s="124" t="s">
        <v>7</v>
      </c>
      <c r="D134" s="125"/>
      <c r="E134" s="30">
        <f>SUM(E128:E133)</f>
        <v>4</v>
      </c>
      <c r="F134" s="30">
        <f t="shared" ref="F134:I134" si="21">SUM(F128:F133)</f>
        <v>14</v>
      </c>
      <c r="G134" s="30">
        <f t="shared" si="21"/>
        <v>27</v>
      </c>
      <c r="H134" s="30">
        <f t="shared" si="21"/>
        <v>43</v>
      </c>
      <c r="I134" s="99">
        <f t="shared" si="21"/>
        <v>1</v>
      </c>
      <c r="J134" s="30">
        <v>88</v>
      </c>
    </row>
  </sheetData>
  <mergeCells count="78">
    <mergeCell ref="C8:C13"/>
    <mergeCell ref="C5:J5"/>
    <mergeCell ref="C6:D7"/>
    <mergeCell ref="E6:H6"/>
    <mergeCell ref="I6:I7"/>
    <mergeCell ref="J6:J7"/>
    <mergeCell ref="C14:D14"/>
    <mergeCell ref="C17:J17"/>
    <mergeCell ref="C18:D19"/>
    <mergeCell ref="E18:H18"/>
    <mergeCell ref="I18:I19"/>
    <mergeCell ref="J18:J19"/>
    <mergeCell ref="C20:C25"/>
    <mergeCell ref="C26:D26"/>
    <mergeCell ref="C29:J29"/>
    <mergeCell ref="C30:D31"/>
    <mergeCell ref="E30:H30"/>
    <mergeCell ref="I30:I31"/>
    <mergeCell ref="J30:J31"/>
    <mergeCell ref="C32:C37"/>
    <mergeCell ref="C38:D38"/>
    <mergeCell ref="C41:J41"/>
    <mergeCell ref="C42:D43"/>
    <mergeCell ref="E42:H42"/>
    <mergeCell ref="I42:I43"/>
    <mergeCell ref="J42:J43"/>
    <mergeCell ref="C44:C49"/>
    <mergeCell ref="C50:D50"/>
    <mergeCell ref="C53:J53"/>
    <mergeCell ref="C54:D55"/>
    <mergeCell ref="E54:H54"/>
    <mergeCell ref="I54:I55"/>
    <mergeCell ref="J54:J55"/>
    <mergeCell ref="C56:C61"/>
    <mergeCell ref="C62:D62"/>
    <mergeCell ref="C65:J65"/>
    <mergeCell ref="C66:D67"/>
    <mergeCell ref="E66:H66"/>
    <mergeCell ref="I66:I67"/>
    <mergeCell ref="J66:J67"/>
    <mergeCell ref="C68:C73"/>
    <mergeCell ref="C74:D74"/>
    <mergeCell ref="C77:J77"/>
    <mergeCell ref="C78:D79"/>
    <mergeCell ref="E78:H78"/>
    <mergeCell ref="I78:I79"/>
    <mergeCell ref="J78:J79"/>
    <mergeCell ref="C80:C85"/>
    <mergeCell ref="C86:D86"/>
    <mergeCell ref="C89:J89"/>
    <mergeCell ref="C90:D91"/>
    <mergeCell ref="E90:H90"/>
    <mergeCell ref="I90:I91"/>
    <mergeCell ref="J90:J91"/>
    <mergeCell ref="J114:J115"/>
    <mergeCell ref="C92:C97"/>
    <mergeCell ref="C98:D98"/>
    <mergeCell ref="C101:J101"/>
    <mergeCell ref="C102:D103"/>
    <mergeCell ref="E102:H102"/>
    <mergeCell ref="I102:I103"/>
    <mergeCell ref="J102:J103"/>
    <mergeCell ref="C128:C133"/>
    <mergeCell ref="C134:D134"/>
    <mergeCell ref="C2:K3"/>
    <mergeCell ref="C116:C121"/>
    <mergeCell ref="C122:D122"/>
    <mergeCell ref="C125:J125"/>
    <mergeCell ref="C126:D127"/>
    <mergeCell ref="E126:H126"/>
    <mergeCell ref="I126:I127"/>
    <mergeCell ref="J126:J127"/>
    <mergeCell ref="C104:C109"/>
    <mergeCell ref="C110:D110"/>
    <mergeCell ref="C113:J113"/>
    <mergeCell ref="C114:D115"/>
    <mergeCell ref="E114:H114"/>
    <mergeCell ref="I114:I115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8"/>
  <sheetViews>
    <sheetView zoomScale="90" zoomScaleNormal="90" workbookViewId="0">
      <selection activeCell="A2" sqref="A2:N3"/>
    </sheetView>
  </sheetViews>
  <sheetFormatPr defaultColWidth="0" defaultRowHeight="15" zeroHeight="1" x14ac:dyDescent="0.25"/>
  <cols>
    <col min="1" max="1" width="22.85546875" style="42" customWidth="1"/>
    <col min="2" max="2" width="15.42578125" style="42" customWidth="1"/>
    <col min="3" max="3" width="14.42578125" style="42" customWidth="1"/>
    <col min="4" max="5" width="9.140625" style="42" customWidth="1"/>
    <col min="6" max="6" width="11.7109375" style="42" customWidth="1"/>
    <col min="7" max="7" width="9.140625" style="42" customWidth="1"/>
    <col min="8" max="8" width="7.7109375" style="42" customWidth="1"/>
    <col min="9" max="17" width="9.140625" style="42" customWidth="1"/>
    <col min="18" max="16384" width="9.140625" style="42" hidden="1"/>
  </cols>
  <sheetData>
    <row r="1" spans="1:16" x14ac:dyDescent="0.25"/>
    <row r="2" spans="1:16" ht="16.5" customHeight="1" x14ac:dyDescent="0.25">
      <c r="A2" s="144" t="s">
        <v>62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</row>
    <row r="3" spans="1:16" x14ac:dyDescent="0.25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4" spans="1:16" x14ac:dyDescent="0.25"/>
    <row r="5" spans="1:16" x14ac:dyDescent="0.25"/>
    <row r="6" spans="1:16" ht="24" customHeight="1" x14ac:dyDescent="0.25">
      <c r="A6" s="143" t="s">
        <v>63</v>
      </c>
      <c r="B6" s="143"/>
      <c r="C6" s="143"/>
      <c r="D6" s="143"/>
      <c r="E6" s="143"/>
      <c r="F6" s="143"/>
      <c r="G6" s="143"/>
      <c r="H6" s="43"/>
    </row>
    <row r="7" spans="1:16" x14ac:dyDescent="0.25">
      <c r="A7" s="145" t="s">
        <v>0</v>
      </c>
      <c r="B7" s="139"/>
      <c r="C7" s="139" t="s">
        <v>25</v>
      </c>
      <c r="D7" s="139"/>
      <c r="E7" s="139"/>
      <c r="F7" s="140" t="s">
        <v>59</v>
      </c>
      <c r="G7" s="139" t="s">
        <v>7</v>
      </c>
      <c r="H7" s="43"/>
    </row>
    <row r="8" spans="1:16" x14ac:dyDescent="0.25">
      <c r="A8" s="145"/>
      <c r="B8" s="139"/>
      <c r="C8" s="44" t="s">
        <v>73</v>
      </c>
      <c r="D8" s="44" t="s">
        <v>8</v>
      </c>
      <c r="E8" s="44" t="s">
        <v>9</v>
      </c>
      <c r="F8" s="141"/>
      <c r="G8" s="139"/>
      <c r="H8" s="43"/>
    </row>
    <row r="9" spans="1:16" x14ac:dyDescent="0.25">
      <c r="A9" s="139" t="s">
        <v>72</v>
      </c>
      <c r="B9" s="44" t="s">
        <v>0</v>
      </c>
      <c r="C9" s="45">
        <v>4</v>
      </c>
      <c r="D9" s="45">
        <v>0</v>
      </c>
      <c r="E9" s="45">
        <v>0</v>
      </c>
      <c r="F9" s="49">
        <v>4.4999999999999998E-2</v>
      </c>
      <c r="G9" s="46">
        <v>4</v>
      </c>
      <c r="H9" s="43"/>
    </row>
    <row r="10" spans="1:16" x14ac:dyDescent="0.25">
      <c r="A10" s="139"/>
      <c r="B10" s="44" t="s">
        <v>31</v>
      </c>
      <c r="C10" s="45">
        <v>0</v>
      </c>
      <c r="D10" s="45">
        <v>11</v>
      </c>
      <c r="E10" s="45">
        <v>7</v>
      </c>
      <c r="F10" s="49">
        <v>0.20499999999999999</v>
      </c>
      <c r="G10" s="46">
        <v>18</v>
      </c>
      <c r="H10" s="43"/>
    </row>
    <row r="11" spans="1:16" x14ac:dyDescent="0.25">
      <c r="A11" s="139"/>
      <c r="B11" s="44" t="s">
        <v>32</v>
      </c>
      <c r="C11" s="45">
        <v>0</v>
      </c>
      <c r="D11" s="45">
        <v>19</v>
      </c>
      <c r="E11" s="45">
        <v>12</v>
      </c>
      <c r="F11" s="49">
        <v>0.35199999999999998</v>
      </c>
      <c r="G11" s="46">
        <v>31</v>
      </c>
      <c r="H11" s="43"/>
    </row>
    <row r="12" spans="1:16" x14ac:dyDescent="0.25">
      <c r="A12" s="139"/>
      <c r="B12" s="44" t="s">
        <v>33</v>
      </c>
      <c r="C12" s="45">
        <v>0</v>
      </c>
      <c r="D12" s="45">
        <v>9</v>
      </c>
      <c r="E12" s="45">
        <v>2</v>
      </c>
      <c r="F12" s="49">
        <v>0.125</v>
      </c>
      <c r="G12" s="46">
        <v>11</v>
      </c>
      <c r="H12" s="43"/>
    </row>
    <row r="13" spans="1:16" ht="16.5" customHeight="1" x14ac:dyDescent="0.25">
      <c r="A13" s="139"/>
      <c r="B13" s="44" t="s">
        <v>34</v>
      </c>
      <c r="C13" s="45">
        <v>0</v>
      </c>
      <c r="D13" s="45">
        <v>11</v>
      </c>
      <c r="E13" s="45">
        <v>4</v>
      </c>
      <c r="F13" s="49">
        <v>0.17100000000000001</v>
      </c>
      <c r="G13" s="46">
        <v>15</v>
      </c>
      <c r="H13" s="43"/>
    </row>
    <row r="14" spans="1:16" x14ac:dyDescent="0.25">
      <c r="A14" s="139"/>
      <c r="B14" s="44" t="s">
        <v>35</v>
      </c>
      <c r="C14" s="45">
        <v>0</v>
      </c>
      <c r="D14" s="45">
        <v>6</v>
      </c>
      <c r="E14" s="45">
        <v>3</v>
      </c>
      <c r="F14" s="49">
        <v>0.10199999999999999</v>
      </c>
      <c r="G14" s="46">
        <v>9</v>
      </c>
      <c r="H14" s="43"/>
    </row>
    <row r="15" spans="1:16" x14ac:dyDescent="0.25">
      <c r="A15" s="142" t="s">
        <v>7</v>
      </c>
      <c r="B15" s="142"/>
      <c r="C15" s="47">
        <v>4</v>
      </c>
      <c r="D15" s="47">
        <v>56</v>
      </c>
      <c r="E15" s="47">
        <v>28</v>
      </c>
      <c r="F15" s="48">
        <f>SUM(F9:F14)</f>
        <v>1</v>
      </c>
      <c r="G15" s="47">
        <v>88</v>
      </c>
      <c r="H15" s="43"/>
    </row>
    <row r="16" spans="1:16" x14ac:dyDescent="0.25">
      <c r="A16" s="52"/>
      <c r="B16" s="52"/>
      <c r="C16" s="52"/>
      <c r="D16" s="52"/>
      <c r="E16" s="52"/>
      <c r="F16" s="52"/>
      <c r="G16" s="52"/>
      <c r="H16" s="52"/>
      <c r="I16" s="51"/>
      <c r="J16" s="51"/>
      <c r="K16" s="51"/>
      <c r="L16" s="51"/>
      <c r="M16" s="51"/>
      <c r="N16" s="51"/>
      <c r="O16" s="51"/>
      <c r="P16" s="51"/>
    </row>
    <row r="17" spans="1:16" ht="27.75" customHeight="1" x14ac:dyDescent="0.25">
      <c r="A17" s="143" t="s">
        <v>64</v>
      </c>
      <c r="B17" s="143"/>
      <c r="C17" s="143"/>
      <c r="D17" s="143"/>
      <c r="E17" s="143"/>
      <c r="F17" s="143"/>
      <c r="G17" s="143"/>
      <c r="H17" s="43"/>
    </row>
    <row r="18" spans="1:16" x14ac:dyDescent="0.25">
      <c r="A18" s="139" t="s">
        <v>0</v>
      </c>
      <c r="B18" s="139"/>
      <c r="C18" s="139" t="s">
        <v>74</v>
      </c>
      <c r="D18" s="139"/>
      <c r="E18" s="139"/>
      <c r="F18" s="140" t="s">
        <v>59</v>
      </c>
      <c r="G18" s="139" t="s">
        <v>7</v>
      </c>
      <c r="H18" s="43"/>
    </row>
    <row r="19" spans="1:16" x14ac:dyDescent="0.25">
      <c r="A19" s="139"/>
      <c r="B19" s="139"/>
      <c r="C19" s="44" t="s">
        <v>73</v>
      </c>
      <c r="D19" s="44" t="s">
        <v>8</v>
      </c>
      <c r="E19" s="44" t="s">
        <v>9</v>
      </c>
      <c r="F19" s="141"/>
      <c r="G19" s="139"/>
      <c r="H19" s="43"/>
    </row>
    <row r="20" spans="1:16" x14ac:dyDescent="0.25">
      <c r="A20" s="139" t="s">
        <v>75</v>
      </c>
      <c r="B20" s="44" t="s">
        <v>0</v>
      </c>
      <c r="C20" s="45">
        <v>4</v>
      </c>
      <c r="D20" s="45">
        <v>0</v>
      </c>
      <c r="E20" s="45">
        <v>0</v>
      </c>
      <c r="F20" s="49">
        <v>4.4999999999999998E-2</v>
      </c>
      <c r="G20" s="46">
        <v>4</v>
      </c>
      <c r="H20" s="43"/>
    </row>
    <row r="21" spans="1:16" x14ac:dyDescent="0.25">
      <c r="A21" s="139"/>
      <c r="B21" s="44" t="s">
        <v>31</v>
      </c>
      <c r="C21" s="45">
        <v>0</v>
      </c>
      <c r="D21" s="45">
        <v>14</v>
      </c>
      <c r="E21" s="45">
        <v>10</v>
      </c>
      <c r="F21" s="49">
        <v>0.27300000000000002</v>
      </c>
      <c r="G21" s="46">
        <v>24</v>
      </c>
      <c r="H21" s="43"/>
    </row>
    <row r="22" spans="1:16" x14ac:dyDescent="0.25">
      <c r="A22" s="139"/>
      <c r="B22" s="44" t="s">
        <v>32</v>
      </c>
      <c r="C22" s="45">
        <v>0</v>
      </c>
      <c r="D22" s="45">
        <v>26</v>
      </c>
      <c r="E22" s="45">
        <v>12</v>
      </c>
      <c r="F22" s="49">
        <v>0.432</v>
      </c>
      <c r="G22" s="46">
        <v>38</v>
      </c>
      <c r="H22" s="43"/>
    </row>
    <row r="23" spans="1:16" x14ac:dyDescent="0.25">
      <c r="A23" s="139"/>
      <c r="B23" s="44" t="s">
        <v>33</v>
      </c>
      <c r="C23" s="45">
        <v>0</v>
      </c>
      <c r="D23" s="45">
        <v>5</v>
      </c>
      <c r="E23" s="45">
        <v>1</v>
      </c>
      <c r="F23" s="49">
        <v>6.8000000000000005E-2</v>
      </c>
      <c r="G23" s="46">
        <v>6</v>
      </c>
      <c r="H23" s="43"/>
    </row>
    <row r="24" spans="1:16" ht="16.5" customHeight="1" x14ac:dyDescent="0.25">
      <c r="A24" s="139"/>
      <c r="B24" s="44" t="s">
        <v>34</v>
      </c>
      <c r="C24" s="45">
        <v>0</v>
      </c>
      <c r="D24" s="45">
        <v>3</v>
      </c>
      <c r="E24" s="45">
        <v>4</v>
      </c>
      <c r="F24" s="49">
        <v>0.08</v>
      </c>
      <c r="G24" s="46">
        <v>7</v>
      </c>
      <c r="H24" s="43"/>
    </row>
    <row r="25" spans="1:16" x14ac:dyDescent="0.25">
      <c r="A25" s="139"/>
      <c r="B25" s="44" t="s">
        <v>35</v>
      </c>
      <c r="C25" s="45">
        <v>0</v>
      </c>
      <c r="D25" s="45">
        <v>8</v>
      </c>
      <c r="E25" s="45">
        <v>1</v>
      </c>
      <c r="F25" s="49">
        <v>0.10199999999999999</v>
      </c>
      <c r="G25" s="46">
        <v>9</v>
      </c>
      <c r="H25" s="43"/>
    </row>
    <row r="26" spans="1:16" x14ac:dyDescent="0.25">
      <c r="A26" s="142" t="s">
        <v>7</v>
      </c>
      <c r="B26" s="142"/>
      <c r="C26" s="47">
        <v>4</v>
      </c>
      <c r="D26" s="47">
        <v>56</v>
      </c>
      <c r="E26" s="47">
        <v>28</v>
      </c>
      <c r="F26" s="48">
        <f>SUM(F20:F25)</f>
        <v>1</v>
      </c>
      <c r="G26" s="47">
        <v>88</v>
      </c>
      <c r="H26" s="43"/>
    </row>
    <row r="27" spans="1:16" x14ac:dyDescent="0.25">
      <c r="A27" s="52"/>
      <c r="B27" s="52"/>
      <c r="C27" s="52"/>
      <c r="D27" s="52"/>
      <c r="E27" s="52"/>
      <c r="F27" s="52"/>
      <c r="G27" s="52"/>
      <c r="H27" s="52"/>
      <c r="I27" s="51"/>
      <c r="J27" s="51"/>
      <c r="K27" s="51"/>
      <c r="L27" s="51"/>
      <c r="M27" s="51"/>
      <c r="N27" s="51"/>
      <c r="O27" s="51"/>
      <c r="P27" s="51"/>
    </row>
    <row r="28" spans="1:16" ht="29.25" customHeight="1" x14ac:dyDescent="0.25">
      <c r="A28" s="143" t="s">
        <v>65</v>
      </c>
      <c r="B28" s="143"/>
      <c r="C28" s="143"/>
      <c r="D28" s="143"/>
      <c r="E28" s="143"/>
      <c r="F28" s="143"/>
      <c r="G28" s="143"/>
      <c r="H28" s="43"/>
    </row>
    <row r="29" spans="1:16" x14ac:dyDescent="0.25">
      <c r="A29" s="139" t="s">
        <v>0</v>
      </c>
      <c r="B29" s="139"/>
      <c r="C29" s="139" t="s">
        <v>25</v>
      </c>
      <c r="D29" s="139"/>
      <c r="E29" s="139"/>
      <c r="F29" s="140" t="s">
        <v>59</v>
      </c>
      <c r="G29" s="139" t="s">
        <v>7</v>
      </c>
      <c r="H29" s="43"/>
    </row>
    <row r="30" spans="1:16" x14ac:dyDescent="0.25">
      <c r="A30" s="139"/>
      <c r="B30" s="139"/>
      <c r="C30" s="44" t="s">
        <v>73</v>
      </c>
      <c r="D30" s="44" t="s">
        <v>8</v>
      </c>
      <c r="E30" s="44" t="s">
        <v>9</v>
      </c>
      <c r="F30" s="141"/>
      <c r="G30" s="139"/>
      <c r="H30" s="43"/>
    </row>
    <row r="31" spans="1:16" x14ac:dyDescent="0.25">
      <c r="A31" s="139" t="s">
        <v>76</v>
      </c>
      <c r="B31" s="44" t="s">
        <v>0</v>
      </c>
      <c r="C31" s="45">
        <v>4</v>
      </c>
      <c r="D31" s="45">
        <v>0</v>
      </c>
      <c r="E31" s="45">
        <v>0</v>
      </c>
      <c r="F31" s="49">
        <v>4.4999999999999998E-2</v>
      </c>
      <c r="G31" s="46">
        <v>4</v>
      </c>
      <c r="H31" s="43"/>
    </row>
    <row r="32" spans="1:16" x14ac:dyDescent="0.25">
      <c r="A32" s="139"/>
      <c r="B32" s="44" t="s">
        <v>31</v>
      </c>
      <c r="C32" s="45">
        <v>0</v>
      </c>
      <c r="D32" s="45">
        <v>10</v>
      </c>
      <c r="E32" s="45">
        <v>8</v>
      </c>
      <c r="F32" s="49">
        <v>0.20399999999999999</v>
      </c>
      <c r="G32" s="46">
        <v>18</v>
      </c>
      <c r="H32" s="43"/>
    </row>
    <row r="33" spans="1:16" x14ac:dyDescent="0.25">
      <c r="A33" s="139"/>
      <c r="B33" s="44" t="s">
        <v>32</v>
      </c>
      <c r="C33" s="45">
        <v>0</v>
      </c>
      <c r="D33" s="45">
        <v>35</v>
      </c>
      <c r="E33" s="45">
        <v>16</v>
      </c>
      <c r="F33" s="49">
        <v>0.57999999999999996</v>
      </c>
      <c r="G33" s="46">
        <v>51</v>
      </c>
      <c r="H33" s="43"/>
    </row>
    <row r="34" spans="1:16" x14ac:dyDescent="0.25">
      <c r="A34" s="139"/>
      <c r="B34" s="44" t="s">
        <v>33</v>
      </c>
      <c r="C34" s="45">
        <v>0</v>
      </c>
      <c r="D34" s="45">
        <v>5</v>
      </c>
      <c r="E34" s="45">
        <v>2</v>
      </c>
      <c r="F34" s="49">
        <v>0.08</v>
      </c>
      <c r="G34" s="46">
        <v>7</v>
      </c>
      <c r="H34" s="43"/>
    </row>
    <row r="35" spans="1:16" ht="16.5" customHeight="1" x14ac:dyDescent="0.25">
      <c r="A35" s="139"/>
      <c r="B35" s="44" t="s">
        <v>34</v>
      </c>
      <c r="C35" s="45">
        <v>0</v>
      </c>
      <c r="D35" s="45">
        <v>5</v>
      </c>
      <c r="E35" s="45">
        <v>1</v>
      </c>
      <c r="F35" s="49">
        <v>6.8000000000000005E-2</v>
      </c>
      <c r="G35" s="46">
        <v>6</v>
      </c>
      <c r="H35" s="43"/>
    </row>
    <row r="36" spans="1:16" x14ac:dyDescent="0.25">
      <c r="A36" s="139"/>
      <c r="B36" s="44" t="s">
        <v>35</v>
      </c>
      <c r="C36" s="45">
        <v>0</v>
      </c>
      <c r="D36" s="45">
        <v>1</v>
      </c>
      <c r="E36" s="45">
        <v>1</v>
      </c>
      <c r="F36" s="49">
        <v>2.3E-2</v>
      </c>
      <c r="G36" s="46">
        <v>2</v>
      </c>
      <c r="H36" s="43"/>
    </row>
    <row r="37" spans="1:16" x14ac:dyDescent="0.25">
      <c r="A37" s="142" t="s">
        <v>7</v>
      </c>
      <c r="B37" s="142"/>
      <c r="C37" s="47">
        <v>4</v>
      </c>
      <c r="D37" s="47">
        <v>56</v>
      </c>
      <c r="E37" s="47">
        <v>28</v>
      </c>
      <c r="F37" s="48">
        <f>SUM(F31:F36)</f>
        <v>0.99999999999999989</v>
      </c>
      <c r="G37" s="47">
        <v>88</v>
      </c>
      <c r="H37" s="43"/>
    </row>
    <row r="38" spans="1:16" x14ac:dyDescent="0.25">
      <c r="A38" s="52"/>
      <c r="B38" s="52"/>
      <c r="C38" s="52"/>
      <c r="D38" s="52"/>
      <c r="E38" s="52"/>
      <c r="F38" s="52"/>
      <c r="G38" s="52"/>
      <c r="H38" s="52"/>
      <c r="I38" s="51"/>
      <c r="J38" s="51"/>
      <c r="K38" s="51"/>
      <c r="L38" s="51"/>
      <c r="M38" s="51"/>
      <c r="N38" s="51"/>
      <c r="O38" s="51"/>
      <c r="P38" s="51"/>
    </row>
    <row r="39" spans="1:16" ht="27" customHeight="1" x14ac:dyDescent="0.25">
      <c r="A39" s="143" t="s">
        <v>77</v>
      </c>
      <c r="B39" s="143"/>
      <c r="C39" s="143"/>
      <c r="D39" s="143"/>
      <c r="E39" s="143"/>
      <c r="F39" s="143"/>
      <c r="G39" s="143"/>
      <c r="H39" s="43"/>
    </row>
    <row r="40" spans="1:16" x14ac:dyDescent="0.25">
      <c r="A40" s="139" t="s">
        <v>0</v>
      </c>
      <c r="B40" s="139"/>
      <c r="C40" s="139" t="s">
        <v>25</v>
      </c>
      <c r="D40" s="139"/>
      <c r="E40" s="139"/>
      <c r="F40" s="140" t="s">
        <v>59</v>
      </c>
      <c r="G40" s="139" t="s">
        <v>7</v>
      </c>
      <c r="H40" s="43"/>
    </row>
    <row r="41" spans="1:16" x14ac:dyDescent="0.25">
      <c r="A41" s="139"/>
      <c r="B41" s="139"/>
      <c r="C41" s="44" t="s">
        <v>73</v>
      </c>
      <c r="D41" s="44" t="s">
        <v>8</v>
      </c>
      <c r="E41" s="44" t="s">
        <v>9</v>
      </c>
      <c r="F41" s="141"/>
      <c r="G41" s="139"/>
      <c r="H41" s="43"/>
    </row>
    <row r="42" spans="1:16" x14ac:dyDescent="0.25">
      <c r="A42" s="139" t="s">
        <v>78</v>
      </c>
      <c r="B42" s="44" t="s">
        <v>0</v>
      </c>
      <c r="C42" s="45">
        <v>4</v>
      </c>
      <c r="D42" s="45">
        <v>0</v>
      </c>
      <c r="E42" s="45">
        <v>0</v>
      </c>
      <c r="F42" s="49">
        <v>4.4999999999999998E-2</v>
      </c>
      <c r="G42" s="46">
        <v>4</v>
      </c>
      <c r="H42" s="43"/>
    </row>
    <row r="43" spans="1:16" x14ac:dyDescent="0.25">
      <c r="A43" s="139"/>
      <c r="B43" s="44" t="s">
        <v>31</v>
      </c>
      <c r="C43" s="45">
        <v>0</v>
      </c>
      <c r="D43" s="45">
        <v>14</v>
      </c>
      <c r="E43" s="45">
        <v>8</v>
      </c>
      <c r="F43" s="49">
        <v>0.25</v>
      </c>
      <c r="G43" s="46">
        <v>22</v>
      </c>
      <c r="H43" s="43"/>
    </row>
    <row r="44" spans="1:16" x14ac:dyDescent="0.25">
      <c r="A44" s="139"/>
      <c r="B44" s="44" t="s">
        <v>32</v>
      </c>
      <c r="C44" s="45">
        <v>0</v>
      </c>
      <c r="D44" s="45">
        <v>24</v>
      </c>
      <c r="E44" s="45">
        <v>14</v>
      </c>
      <c r="F44" s="49">
        <v>0.432</v>
      </c>
      <c r="G44" s="46">
        <v>38</v>
      </c>
      <c r="H44" s="43"/>
    </row>
    <row r="45" spans="1:16" x14ac:dyDescent="0.25">
      <c r="A45" s="139"/>
      <c r="B45" s="44" t="s">
        <v>33</v>
      </c>
      <c r="C45" s="45">
        <v>0</v>
      </c>
      <c r="D45" s="45">
        <v>8</v>
      </c>
      <c r="E45" s="45">
        <v>1</v>
      </c>
      <c r="F45" s="49">
        <v>0.10199999999999999</v>
      </c>
      <c r="G45" s="46">
        <v>9</v>
      </c>
      <c r="H45" s="43"/>
    </row>
    <row r="46" spans="1:16" ht="16.5" customHeight="1" x14ac:dyDescent="0.25">
      <c r="A46" s="139"/>
      <c r="B46" s="44" t="s">
        <v>34</v>
      </c>
      <c r="C46" s="45">
        <v>0</v>
      </c>
      <c r="D46" s="45">
        <v>4</v>
      </c>
      <c r="E46" s="45">
        <v>3</v>
      </c>
      <c r="F46" s="49">
        <v>0.08</v>
      </c>
      <c r="G46" s="46">
        <v>7</v>
      </c>
      <c r="H46" s="43"/>
    </row>
    <row r="47" spans="1:16" x14ac:dyDescent="0.25">
      <c r="A47" s="139"/>
      <c r="B47" s="44" t="s">
        <v>35</v>
      </c>
      <c r="C47" s="45">
        <v>0</v>
      </c>
      <c r="D47" s="45">
        <v>6</v>
      </c>
      <c r="E47" s="45">
        <v>2</v>
      </c>
      <c r="F47" s="49">
        <v>9.0999999999999998E-2</v>
      </c>
      <c r="G47" s="46">
        <v>8</v>
      </c>
      <c r="H47" s="43"/>
    </row>
    <row r="48" spans="1:16" x14ac:dyDescent="0.25">
      <c r="A48" s="142" t="s">
        <v>7</v>
      </c>
      <c r="B48" s="142"/>
      <c r="C48" s="47">
        <v>4</v>
      </c>
      <c r="D48" s="47">
        <v>56</v>
      </c>
      <c r="E48" s="47">
        <v>28</v>
      </c>
      <c r="F48" s="48">
        <f>SUM(F42:F47)</f>
        <v>0.99999999999999989</v>
      </c>
      <c r="G48" s="47">
        <v>88</v>
      </c>
      <c r="H48" s="43"/>
    </row>
    <row r="49" spans="1:16" x14ac:dyDescent="0.25">
      <c r="A49" s="52"/>
      <c r="B49" s="52"/>
      <c r="C49" s="52"/>
      <c r="D49" s="52"/>
      <c r="E49" s="52"/>
      <c r="F49" s="52"/>
      <c r="G49" s="52"/>
      <c r="H49" s="52"/>
      <c r="I49" s="51"/>
      <c r="J49" s="51"/>
      <c r="K49" s="51"/>
      <c r="L49" s="51"/>
      <c r="M49" s="51"/>
      <c r="N49" s="51"/>
      <c r="O49" s="51"/>
      <c r="P49" s="51"/>
    </row>
    <row r="50" spans="1:16" ht="25.5" customHeight="1" x14ac:dyDescent="0.25">
      <c r="A50" s="143" t="s">
        <v>66</v>
      </c>
      <c r="B50" s="143"/>
      <c r="C50" s="143"/>
      <c r="D50" s="143"/>
      <c r="E50" s="143"/>
      <c r="F50" s="143"/>
      <c r="G50" s="143"/>
      <c r="H50" s="43"/>
    </row>
    <row r="51" spans="1:16" x14ac:dyDescent="0.25">
      <c r="A51" s="139" t="s">
        <v>0</v>
      </c>
      <c r="B51" s="139"/>
      <c r="C51" s="139" t="s">
        <v>25</v>
      </c>
      <c r="D51" s="139"/>
      <c r="E51" s="139"/>
      <c r="F51" s="140" t="s">
        <v>59</v>
      </c>
      <c r="G51" s="139" t="s">
        <v>7</v>
      </c>
      <c r="H51" s="43"/>
    </row>
    <row r="52" spans="1:16" x14ac:dyDescent="0.25">
      <c r="A52" s="139"/>
      <c r="B52" s="139"/>
      <c r="C52" s="44" t="s">
        <v>73</v>
      </c>
      <c r="D52" s="44" t="s">
        <v>8</v>
      </c>
      <c r="E52" s="44" t="s">
        <v>9</v>
      </c>
      <c r="F52" s="141"/>
      <c r="G52" s="139"/>
      <c r="H52" s="43"/>
    </row>
    <row r="53" spans="1:16" x14ac:dyDescent="0.25">
      <c r="A53" s="139" t="s">
        <v>79</v>
      </c>
      <c r="B53" s="44" t="s">
        <v>0</v>
      </c>
      <c r="C53" s="45">
        <v>4</v>
      </c>
      <c r="D53" s="45">
        <v>0</v>
      </c>
      <c r="E53" s="45">
        <v>0</v>
      </c>
      <c r="F53" s="49">
        <v>4.4999999999999998E-2</v>
      </c>
      <c r="G53" s="46">
        <v>4</v>
      </c>
      <c r="H53" s="43"/>
    </row>
    <row r="54" spans="1:16" x14ac:dyDescent="0.25">
      <c r="A54" s="139"/>
      <c r="B54" s="44" t="s">
        <v>31</v>
      </c>
      <c r="C54" s="45">
        <v>0</v>
      </c>
      <c r="D54" s="45">
        <v>16</v>
      </c>
      <c r="E54" s="45">
        <v>7</v>
      </c>
      <c r="F54" s="49">
        <v>0.26100000000000001</v>
      </c>
      <c r="G54" s="46">
        <v>23</v>
      </c>
      <c r="H54" s="43"/>
    </row>
    <row r="55" spans="1:16" x14ac:dyDescent="0.25">
      <c r="A55" s="139"/>
      <c r="B55" s="44" t="s">
        <v>32</v>
      </c>
      <c r="C55" s="45">
        <v>0</v>
      </c>
      <c r="D55" s="45">
        <v>20</v>
      </c>
      <c r="E55" s="45">
        <v>12</v>
      </c>
      <c r="F55" s="49">
        <v>0.36399999999999999</v>
      </c>
      <c r="G55" s="46">
        <v>32</v>
      </c>
      <c r="H55" s="43"/>
    </row>
    <row r="56" spans="1:16" x14ac:dyDescent="0.25">
      <c r="A56" s="139"/>
      <c r="B56" s="44" t="s">
        <v>33</v>
      </c>
      <c r="C56" s="45">
        <v>0</v>
      </c>
      <c r="D56" s="45">
        <v>6</v>
      </c>
      <c r="E56" s="45">
        <v>1</v>
      </c>
      <c r="F56" s="49">
        <v>0.08</v>
      </c>
      <c r="G56" s="46">
        <v>7</v>
      </c>
      <c r="H56" s="43"/>
    </row>
    <row r="57" spans="1:16" ht="17.25" customHeight="1" x14ac:dyDescent="0.25">
      <c r="A57" s="139"/>
      <c r="B57" s="44" t="s">
        <v>34</v>
      </c>
      <c r="C57" s="45">
        <v>0</v>
      </c>
      <c r="D57" s="45">
        <v>7</v>
      </c>
      <c r="E57" s="45">
        <v>4</v>
      </c>
      <c r="F57" s="49">
        <v>0.125</v>
      </c>
      <c r="G57" s="46">
        <v>11</v>
      </c>
      <c r="H57" s="43"/>
    </row>
    <row r="58" spans="1:16" x14ac:dyDescent="0.25">
      <c r="A58" s="139"/>
      <c r="B58" s="44" t="s">
        <v>35</v>
      </c>
      <c r="C58" s="45">
        <v>0</v>
      </c>
      <c r="D58" s="45">
        <v>7</v>
      </c>
      <c r="E58" s="45">
        <v>4</v>
      </c>
      <c r="F58" s="49">
        <v>0.125</v>
      </c>
      <c r="G58" s="46">
        <v>11</v>
      </c>
      <c r="H58" s="43"/>
    </row>
    <row r="59" spans="1:16" x14ac:dyDescent="0.25">
      <c r="A59" s="142" t="s">
        <v>7</v>
      </c>
      <c r="B59" s="142"/>
      <c r="C59" s="47">
        <v>4</v>
      </c>
      <c r="D59" s="47">
        <v>56</v>
      </c>
      <c r="E59" s="47">
        <v>28</v>
      </c>
      <c r="F59" s="48">
        <f>SUM(F53:F58)</f>
        <v>0.99999999999999989</v>
      </c>
      <c r="G59" s="47">
        <v>88</v>
      </c>
      <c r="H59" s="43"/>
    </row>
    <row r="60" spans="1:16" x14ac:dyDescent="0.25">
      <c r="A60" s="52"/>
      <c r="B60" s="52"/>
      <c r="C60" s="52"/>
      <c r="D60" s="52"/>
      <c r="E60" s="52"/>
      <c r="F60" s="52"/>
      <c r="G60" s="52"/>
      <c r="H60" s="52"/>
      <c r="I60" s="51"/>
      <c r="J60" s="51"/>
      <c r="K60" s="51"/>
      <c r="L60" s="51"/>
      <c r="M60" s="51"/>
      <c r="N60" s="51"/>
      <c r="O60" s="51"/>
      <c r="P60" s="51"/>
    </row>
    <row r="61" spans="1:16" ht="25.5" customHeight="1" x14ac:dyDescent="0.25">
      <c r="A61" s="143" t="s">
        <v>67</v>
      </c>
      <c r="B61" s="143"/>
      <c r="C61" s="143"/>
      <c r="D61" s="143"/>
      <c r="E61" s="143"/>
      <c r="F61" s="143"/>
      <c r="G61" s="143"/>
      <c r="H61" s="43"/>
    </row>
    <row r="62" spans="1:16" x14ac:dyDescent="0.25">
      <c r="A62" s="139" t="s">
        <v>0</v>
      </c>
      <c r="B62" s="139"/>
      <c r="C62" s="139" t="s">
        <v>25</v>
      </c>
      <c r="D62" s="139"/>
      <c r="E62" s="139"/>
      <c r="F62" s="140" t="s">
        <v>59</v>
      </c>
      <c r="G62" s="139" t="s">
        <v>7</v>
      </c>
      <c r="H62" s="43"/>
    </row>
    <row r="63" spans="1:16" x14ac:dyDescent="0.25">
      <c r="A63" s="139"/>
      <c r="B63" s="139"/>
      <c r="C63" s="44" t="s">
        <v>73</v>
      </c>
      <c r="D63" s="44" t="s">
        <v>8</v>
      </c>
      <c r="E63" s="44" t="s">
        <v>9</v>
      </c>
      <c r="F63" s="141"/>
      <c r="G63" s="139"/>
      <c r="H63" s="43"/>
    </row>
    <row r="64" spans="1:16" x14ac:dyDescent="0.25">
      <c r="A64" s="139" t="s">
        <v>80</v>
      </c>
      <c r="B64" s="44" t="s">
        <v>0</v>
      </c>
      <c r="C64" s="45">
        <v>4</v>
      </c>
      <c r="D64" s="45">
        <v>0</v>
      </c>
      <c r="E64" s="45">
        <v>0</v>
      </c>
      <c r="F64" s="49">
        <v>4.4999999999999998E-2</v>
      </c>
      <c r="G64" s="46">
        <v>4</v>
      </c>
      <c r="H64" s="43"/>
    </row>
    <row r="65" spans="1:16" x14ac:dyDescent="0.25">
      <c r="A65" s="139"/>
      <c r="B65" s="44" t="s">
        <v>31</v>
      </c>
      <c r="C65" s="45">
        <v>0</v>
      </c>
      <c r="D65" s="45">
        <v>11</v>
      </c>
      <c r="E65" s="45">
        <v>4</v>
      </c>
      <c r="F65" s="49">
        <v>0.17</v>
      </c>
      <c r="G65" s="46">
        <v>15</v>
      </c>
      <c r="H65" s="43"/>
    </row>
    <row r="66" spans="1:16" x14ac:dyDescent="0.25">
      <c r="A66" s="139"/>
      <c r="B66" s="44" t="s">
        <v>32</v>
      </c>
      <c r="C66" s="45">
        <v>0</v>
      </c>
      <c r="D66" s="45">
        <v>7</v>
      </c>
      <c r="E66" s="45">
        <v>4</v>
      </c>
      <c r="F66" s="49">
        <v>0.125</v>
      </c>
      <c r="G66" s="46">
        <v>11</v>
      </c>
      <c r="H66" s="43"/>
    </row>
    <row r="67" spans="1:16" x14ac:dyDescent="0.25">
      <c r="A67" s="139"/>
      <c r="B67" s="44" t="s">
        <v>33</v>
      </c>
      <c r="C67" s="45">
        <v>0</v>
      </c>
      <c r="D67" s="45">
        <v>11</v>
      </c>
      <c r="E67" s="45">
        <v>8</v>
      </c>
      <c r="F67" s="49">
        <v>0.216</v>
      </c>
      <c r="G67" s="46">
        <v>19</v>
      </c>
      <c r="H67" s="43"/>
    </row>
    <row r="68" spans="1:16" ht="18" customHeight="1" x14ac:dyDescent="0.25">
      <c r="A68" s="139"/>
      <c r="B68" s="44" t="s">
        <v>34</v>
      </c>
      <c r="C68" s="45">
        <v>0</v>
      </c>
      <c r="D68" s="45">
        <v>24</v>
      </c>
      <c r="E68" s="45">
        <v>10</v>
      </c>
      <c r="F68" s="49">
        <v>0.38700000000000001</v>
      </c>
      <c r="G68" s="46">
        <v>34</v>
      </c>
      <c r="H68" s="43"/>
    </row>
    <row r="69" spans="1:16" x14ac:dyDescent="0.25">
      <c r="A69" s="139"/>
      <c r="B69" s="44" t="s">
        <v>35</v>
      </c>
      <c r="C69" s="45">
        <v>0</v>
      </c>
      <c r="D69" s="45">
        <v>3</v>
      </c>
      <c r="E69" s="45">
        <v>2</v>
      </c>
      <c r="F69" s="49">
        <v>5.7000000000000002E-2</v>
      </c>
      <c r="G69" s="46">
        <v>5</v>
      </c>
      <c r="H69" s="43"/>
    </row>
    <row r="70" spans="1:16" x14ac:dyDescent="0.25">
      <c r="A70" s="142" t="s">
        <v>7</v>
      </c>
      <c r="B70" s="142"/>
      <c r="C70" s="47">
        <v>4</v>
      </c>
      <c r="D70" s="47">
        <v>56</v>
      </c>
      <c r="E70" s="47">
        <v>28</v>
      </c>
      <c r="F70" s="48">
        <f>SUM(F64:F69)</f>
        <v>1</v>
      </c>
      <c r="G70" s="47">
        <v>88</v>
      </c>
      <c r="H70" s="43"/>
    </row>
    <row r="71" spans="1:16" x14ac:dyDescent="0.2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</row>
    <row r="72" spans="1:16" x14ac:dyDescent="0.25"/>
    <row r="73" spans="1:16" ht="29.25" customHeight="1" x14ac:dyDescent="0.2">
      <c r="A73" s="143" t="s">
        <v>68</v>
      </c>
      <c r="B73" s="143"/>
      <c r="C73" s="143"/>
      <c r="D73" s="143"/>
      <c r="E73" s="143"/>
      <c r="F73" s="143"/>
      <c r="G73" s="143"/>
      <c r="H73" s="41"/>
    </row>
    <row r="74" spans="1:16" x14ac:dyDescent="0.2">
      <c r="A74" s="139" t="s">
        <v>0</v>
      </c>
      <c r="B74" s="139"/>
      <c r="C74" s="139" t="s">
        <v>25</v>
      </c>
      <c r="D74" s="139"/>
      <c r="E74" s="139"/>
      <c r="F74" s="140" t="s">
        <v>59</v>
      </c>
      <c r="G74" s="139" t="s">
        <v>7</v>
      </c>
      <c r="H74" s="41"/>
    </row>
    <row r="75" spans="1:16" x14ac:dyDescent="0.2">
      <c r="A75" s="139"/>
      <c r="B75" s="139"/>
      <c r="C75" s="44" t="s">
        <v>73</v>
      </c>
      <c r="D75" s="44" t="s">
        <v>8</v>
      </c>
      <c r="E75" s="44" t="s">
        <v>9</v>
      </c>
      <c r="F75" s="141"/>
      <c r="G75" s="139"/>
      <c r="H75" s="41"/>
    </row>
    <row r="76" spans="1:16" x14ac:dyDescent="0.2">
      <c r="A76" s="139" t="s">
        <v>81</v>
      </c>
      <c r="B76" s="44" t="s">
        <v>0</v>
      </c>
      <c r="C76" s="45">
        <v>4</v>
      </c>
      <c r="D76" s="45">
        <v>0</v>
      </c>
      <c r="E76" s="45">
        <v>0</v>
      </c>
      <c r="F76" s="49">
        <v>4.4999999999999998E-2</v>
      </c>
      <c r="G76" s="46">
        <v>4</v>
      </c>
      <c r="H76" s="41"/>
    </row>
    <row r="77" spans="1:16" x14ac:dyDescent="0.2">
      <c r="A77" s="139"/>
      <c r="B77" s="44" t="s">
        <v>31</v>
      </c>
      <c r="C77" s="45">
        <v>0</v>
      </c>
      <c r="D77" s="45">
        <v>5</v>
      </c>
      <c r="E77" s="45">
        <v>3</v>
      </c>
      <c r="F77" s="49">
        <v>9.0999999999999998E-2</v>
      </c>
      <c r="G77" s="46">
        <v>8</v>
      </c>
      <c r="H77" s="41"/>
    </row>
    <row r="78" spans="1:16" x14ac:dyDescent="0.2">
      <c r="A78" s="139"/>
      <c r="B78" s="44" t="s">
        <v>32</v>
      </c>
      <c r="C78" s="45">
        <v>0</v>
      </c>
      <c r="D78" s="45">
        <v>8</v>
      </c>
      <c r="E78" s="45">
        <v>3</v>
      </c>
      <c r="F78" s="49">
        <v>0.125</v>
      </c>
      <c r="G78" s="46">
        <v>11</v>
      </c>
      <c r="H78" s="41"/>
    </row>
    <row r="79" spans="1:16" x14ac:dyDescent="0.2">
      <c r="A79" s="139"/>
      <c r="B79" s="44" t="s">
        <v>33</v>
      </c>
      <c r="C79" s="45">
        <v>0</v>
      </c>
      <c r="D79" s="45">
        <v>11</v>
      </c>
      <c r="E79" s="45">
        <v>3</v>
      </c>
      <c r="F79" s="49">
        <v>0.159</v>
      </c>
      <c r="G79" s="46">
        <v>14</v>
      </c>
      <c r="H79" s="41"/>
    </row>
    <row r="80" spans="1:16" ht="16.5" customHeight="1" x14ac:dyDescent="0.2">
      <c r="A80" s="139"/>
      <c r="B80" s="44" t="s">
        <v>34</v>
      </c>
      <c r="C80" s="45">
        <v>0</v>
      </c>
      <c r="D80" s="45">
        <v>28</v>
      </c>
      <c r="E80" s="45">
        <v>17</v>
      </c>
      <c r="F80" s="49">
        <v>0.51200000000000001</v>
      </c>
      <c r="G80" s="46">
        <v>45</v>
      </c>
      <c r="H80" s="41"/>
    </row>
    <row r="81" spans="1:16" x14ac:dyDescent="0.2">
      <c r="A81" s="139"/>
      <c r="B81" s="44" t="s">
        <v>35</v>
      </c>
      <c r="C81" s="45">
        <v>0</v>
      </c>
      <c r="D81" s="45">
        <v>4</v>
      </c>
      <c r="E81" s="45">
        <v>2</v>
      </c>
      <c r="F81" s="49">
        <v>6.8000000000000005E-2</v>
      </c>
      <c r="G81" s="46">
        <v>6</v>
      </c>
      <c r="H81" s="41"/>
    </row>
    <row r="82" spans="1:16" x14ac:dyDescent="0.2">
      <c r="A82" s="142" t="s">
        <v>7</v>
      </c>
      <c r="B82" s="142"/>
      <c r="C82" s="47">
        <v>4</v>
      </c>
      <c r="D82" s="47">
        <v>56</v>
      </c>
      <c r="E82" s="47">
        <v>28</v>
      </c>
      <c r="F82" s="48">
        <f>SUM(F76:F81)</f>
        <v>1</v>
      </c>
      <c r="G82" s="47">
        <v>88</v>
      </c>
      <c r="H82" s="41"/>
    </row>
    <row r="83" spans="1:16" x14ac:dyDescent="0.2">
      <c r="A83" s="50"/>
      <c r="B83" s="50"/>
      <c r="C83" s="50"/>
      <c r="D83" s="50"/>
      <c r="E83" s="50"/>
      <c r="F83" s="50"/>
      <c r="G83" s="50"/>
      <c r="H83" s="50"/>
      <c r="I83" s="51"/>
      <c r="J83" s="51"/>
      <c r="K83" s="51"/>
      <c r="L83" s="51"/>
      <c r="M83" s="51"/>
      <c r="N83" s="51"/>
      <c r="O83" s="51"/>
      <c r="P83" s="51"/>
    </row>
    <row r="84" spans="1:16" ht="27.75" customHeight="1" x14ac:dyDescent="0.2">
      <c r="A84" s="143" t="s">
        <v>69</v>
      </c>
      <c r="B84" s="143"/>
      <c r="C84" s="143"/>
      <c r="D84" s="143"/>
      <c r="E84" s="143"/>
      <c r="F84" s="143"/>
      <c r="G84" s="143"/>
      <c r="H84" s="41"/>
    </row>
    <row r="85" spans="1:16" x14ac:dyDescent="0.2">
      <c r="A85" s="139" t="s">
        <v>0</v>
      </c>
      <c r="B85" s="139"/>
      <c r="C85" s="139" t="s">
        <v>25</v>
      </c>
      <c r="D85" s="139"/>
      <c r="E85" s="139"/>
      <c r="F85" s="140" t="s">
        <v>59</v>
      </c>
      <c r="G85" s="139" t="s">
        <v>7</v>
      </c>
      <c r="H85" s="41"/>
    </row>
    <row r="86" spans="1:16" x14ac:dyDescent="0.2">
      <c r="A86" s="139"/>
      <c r="B86" s="139"/>
      <c r="C86" s="44" t="s">
        <v>73</v>
      </c>
      <c r="D86" s="44" t="s">
        <v>8</v>
      </c>
      <c r="E86" s="44" t="s">
        <v>9</v>
      </c>
      <c r="F86" s="141"/>
      <c r="G86" s="139"/>
      <c r="H86" s="41"/>
    </row>
    <row r="87" spans="1:16" x14ac:dyDescent="0.2">
      <c r="A87" s="139" t="s">
        <v>82</v>
      </c>
      <c r="B87" s="44" t="s">
        <v>0</v>
      </c>
      <c r="C87" s="45">
        <v>4</v>
      </c>
      <c r="D87" s="45">
        <v>0</v>
      </c>
      <c r="E87" s="45">
        <v>0</v>
      </c>
      <c r="F87" s="49">
        <v>4.4999999999999998E-2</v>
      </c>
      <c r="G87" s="46">
        <v>4</v>
      </c>
      <c r="H87" s="41"/>
    </row>
    <row r="88" spans="1:16" x14ac:dyDescent="0.2">
      <c r="A88" s="139"/>
      <c r="B88" s="44" t="s">
        <v>31</v>
      </c>
      <c r="C88" s="45">
        <v>0</v>
      </c>
      <c r="D88" s="45">
        <v>8</v>
      </c>
      <c r="E88" s="45">
        <v>0</v>
      </c>
      <c r="F88" s="49">
        <v>9.0999999999999998E-2</v>
      </c>
      <c r="G88" s="46">
        <v>8</v>
      </c>
      <c r="H88" s="41"/>
    </row>
    <row r="89" spans="1:16" x14ac:dyDescent="0.2">
      <c r="A89" s="139"/>
      <c r="B89" s="44" t="s">
        <v>32</v>
      </c>
      <c r="C89" s="45">
        <v>0</v>
      </c>
      <c r="D89" s="45">
        <v>8</v>
      </c>
      <c r="E89" s="45">
        <v>6</v>
      </c>
      <c r="F89" s="49">
        <v>0.159</v>
      </c>
      <c r="G89" s="46">
        <v>14</v>
      </c>
      <c r="H89" s="41"/>
    </row>
    <row r="90" spans="1:16" x14ac:dyDescent="0.2">
      <c r="A90" s="139"/>
      <c r="B90" s="44" t="s">
        <v>33</v>
      </c>
      <c r="C90" s="45">
        <v>0</v>
      </c>
      <c r="D90" s="45">
        <v>11</v>
      </c>
      <c r="E90" s="45">
        <v>6</v>
      </c>
      <c r="F90" s="49">
        <v>0.193</v>
      </c>
      <c r="G90" s="46">
        <v>17</v>
      </c>
      <c r="H90" s="41"/>
    </row>
    <row r="91" spans="1:16" ht="15" customHeight="1" x14ac:dyDescent="0.2">
      <c r="A91" s="139"/>
      <c r="B91" s="44" t="s">
        <v>34</v>
      </c>
      <c r="C91" s="45">
        <v>0</v>
      </c>
      <c r="D91" s="45">
        <v>25</v>
      </c>
      <c r="E91" s="45">
        <v>13</v>
      </c>
      <c r="F91" s="49">
        <v>0.432</v>
      </c>
      <c r="G91" s="46">
        <v>38</v>
      </c>
      <c r="H91" s="41"/>
    </row>
    <row r="92" spans="1:16" x14ac:dyDescent="0.2">
      <c r="A92" s="139"/>
      <c r="B92" s="44" t="s">
        <v>35</v>
      </c>
      <c r="C92" s="45">
        <v>0</v>
      </c>
      <c r="D92" s="45">
        <v>4</v>
      </c>
      <c r="E92" s="45">
        <v>3</v>
      </c>
      <c r="F92" s="49">
        <v>0.08</v>
      </c>
      <c r="G92" s="46">
        <v>7</v>
      </c>
      <c r="H92" s="41"/>
    </row>
    <row r="93" spans="1:16" x14ac:dyDescent="0.2">
      <c r="A93" s="142" t="s">
        <v>7</v>
      </c>
      <c r="B93" s="142"/>
      <c r="C93" s="47">
        <v>4</v>
      </c>
      <c r="D93" s="47">
        <v>56</v>
      </c>
      <c r="E93" s="47">
        <v>28</v>
      </c>
      <c r="F93" s="48">
        <f>SUM(F87:F92)</f>
        <v>1</v>
      </c>
      <c r="G93" s="47">
        <v>88</v>
      </c>
      <c r="H93" s="41"/>
    </row>
    <row r="94" spans="1:16" x14ac:dyDescent="0.2">
      <c r="A94" s="50"/>
      <c r="B94" s="50"/>
      <c r="C94" s="50"/>
      <c r="D94" s="50"/>
      <c r="E94" s="50"/>
      <c r="F94" s="50"/>
      <c r="G94" s="50"/>
      <c r="H94" s="50"/>
      <c r="I94" s="51"/>
      <c r="J94" s="51"/>
      <c r="K94" s="51"/>
      <c r="L94" s="51"/>
      <c r="M94" s="51"/>
      <c r="N94" s="51"/>
      <c r="O94" s="51"/>
      <c r="P94" s="51"/>
    </row>
    <row r="95" spans="1:16" ht="27" customHeight="1" x14ac:dyDescent="0.2">
      <c r="A95" s="143" t="s">
        <v>70</v>
      </c>
      <c r="B95" s="143"/>
      <c r="C95" s="143"/>
      <c r="D95" s="143"/>
      <c r="E95" s="143"/>
      <c r="F95" s="143"/>
      <c r="G95" s="143"/>
      <c r="H95" s="41"/>
    </row>
    <row r="96" spans="1:16" x14ac:dyDescent="0.2">
      <c r="A96" s="139" t="s">
        <v>0</v>
      </c>
      <c r="B96" s="139"/>
      <c r="C96" s="139" t="s">
        <v>25</v>
      </c>
      <c r="D96" s="139"/>
      <c r="E96" s="139"/>
      <c r="F96" s="140" t="s">
        <v>59</v>
      </c>
      <c r="G96" s="139" t="s">
        <v>7</v>
      </c>
      <c r="H96" s="41"/>
    </row>
    <row r="97" spans="1:16" x14ac:dyDescent="0.2">
      <c r="A97" s="139"/>
      <c r="B97" s="139"/>
      <c r="C97" s="44" t="s">
        <v>73</v>
      </c>
      <c r="D97" s="44" t="s">
        <v>8</v>
      </c>
      <c r="E97" s="44" t="s">
        <v>9</v>
      </c>
      <c r="F97" s="141"/>
      <c r="G97" s="139"/>
      <c r="H97" s="41"/>
    </row>
    <row r="98" spans="1:16" x14ac:dyDescent="0.2">
      <c r="A98" s="139" t="s">
        <v>83</v>
      </c>
      <c r="B98" s="44" t="s">
        <v>0</v>
      </c>
      <c r="C98" s="45">
        <v>4</v>
      </c>
      <c r="D98" s="45">
        <v>0</v>
      </c>
      <c r="E98" s="45">
        <v>0</v>
      </c>
      <c r="F98" s="49">
        <v>4.4999999999999998E-2</v>
      </c>
      <c r="G98" s="46">
        <v>4</v>
      </c>
      <c r="H98" s="41"/>
    </row>
    <row r="99" spans="1:16" x14ac:dyDescent="0.2">
      <c r="A99" s="139"/>
      <c r="B99" s="44" t="s">
        <v>31</v>
      </c>
      <c r="C99" s="45">
        <v>0</v>
      </c>
      <c r="D99" s="45">
        <v>22</v>
      </c>
      <c r="E99" s="45">
        <v>11</v>
      </c>
      <c r="F99" s="49">
        <v>0.375</v>
      </c>
      <c r="G99" s="46">
        <v>33</v>
      </c>
      <c r="H99" s="41"/>
    </row>
    <row r="100" spans="1:16" x14ac:dyDescent="0.2">
      <c r="A100" s="139"/>
      <c r="B100" s="44" t="s">
        <v>32</v>
      </c>
      <c r="C100" s="45">
        <v>0</v>
      </c>
      <c r="D100" s="45">
        <v>20</v>
      </c>
      <c r="E100" s="45">
        <v>11</v>
      </c>
      <c r="F100" s="49">
        <v>0.35299999999999998</v>
      </c>
      <c r="G100" s="46">
        <v>31</v>
      </c>
      <c r="H100" s="41"/>
    </row>
    <row r="101" spans="1:16" x14ac:dyDescent="0.2">
      <c r="A101" s="139"/>
      <c r="B101" s="44" t="s">
        <v>33</v>
      </c>
      <c r="C101" s="45">
        <v>0</v>
      </c>
      <c r="D101" s="45">
        <v>5</v>
      </c>
      <c r="E101" s="45">
        <v>1</v>
      </c>
      <c r="F101" s="49">
        <v>6.8000000000000005E-2</v>
      </c>
      <c r="G101" s="46">
        <v>6</v>
      </c>
      <c r="H101" s="41"/>
    </row>
    <row r="102" spans="1:16" ht="18" customHeight="1" x14ac:dyDescent="0.2">
      <c r="A102" s="139"/>
      <c r="B102" s="44" t="s">
        <v>34</v>
      </c>
      <c r="C102" s="45">
        <v>0</v>
      </c>
      <c r="D102" s="45">
        <v>5</v>
      </c>
      <c r="E102" s="45">
        <v>4</v>
      </c>
      <c r="F102" s="49">
        <v>0.10199999999999999</v>
      </c>
      <c r="G102" s="46">
        <v>9</v>
      </c>
      <c r="H102" s="41"/>
    </row>
    <row r="103" spans="1:16" x14ac:dyDescent="0.2">
      <c r="A103" s="139"/>
      <c r="B103" s="44" t="s">
        <v>35</v>
      </c>
      <c r="C103" s="45">
        <v>0</v>
      </c>
      <c r="D103" s="45">
        <v>4</v>
      </c>
      <c r="E103" s="45">
        <v>1</v>
      </c>
      <c r="F103" s="49">
        <v>5.7000000000000002E-2</v>
      </c>
      <c r="G103" s="46">
        <v>5</v>
      </c>
      <c r="H103" s="41"/>
    </row>
    <row r="104" spans="1:16" x14ac:dyDescent="0.2">
      <c r="A104" s="142" t="s">
        <v>7</v>
      </c>
      <c r="B104" s="142"/>
      <c r="C104" s="47">
        <v>4</v>
      </c>
      <c r="D104" s="47">
        <v>56</v>
      </c>
      <c r="E104" s="47">
        <v>28</v>
      </c>
      <c r="F104" s="48">
        <f>SUM(F98:F103)</f>
        <v>1</v>
      </c>
      <c r="G104" s="47">
        <v>88</v>
      </c>
      <c r="H104" s="41"/>
    </row>
    <row r="105" spans="1:16" x14ac:dyDescent="0.2">
      <c r="A105" s="50"/>
      <c r="B105" s="50"/>
      <c r="C105" s="50"/>
      <c r="D105" s="50"/>
      <c r="E105" s="50"/>
      <c r="F105" s="50"/>
      <c r="G105" s="50"/>
      <c r="H105" s="50"/>
      <c r="I105" s="51"/>
      <c r="J105" s="51"/>
      <c r="K105" s="51"/>
      <c r="L105" s="51"/>
      <c r="M105" s="51"/>
      <c r="N105" s="51"/>
      <c r="O105" s="51"/>
      <c r="P105" s="51"/>
    </row>
    <row r="106" spans="1:16" ht="36" customHeight="1" x14ac:dyDescent="0.2">
      <c r="A106" s="143" t="s">
        <v>71</v>
      </c>
      <c r="B106" s="143"/>
      <c r="C106" s="143"/>
      <c r="D106" s="143"/>
      <c r="E106" s="143"/>
      <c r="F106" s="143"/>
      <c r="G106" s="143"/>
      <c r="H106" s="41"/>
    </row>
    <row r="107" spans="1:16" x14ac:dyDescent="0.2">
      <c r="A107" s="139" t="s">
        <v>0</v>
      </c>
      <c r="B107" s="139"/>
      <c r="C107" s="139" t="s">
        <v>25</v>
      </c>
      <c r="D107" s="139"/>
      <c r="E107" s="139"/>
      <c r="F107" s="140" t="s">
        <v>59</v>
      </c>
      <c r="G107" s="139" t="s">
        <v>7</v>
      </c>
      <c r="H107" s="41"/>
    </row>
    <row r="108" spans="1:16" x14ac:dyDescent="0.2">
      <c r="A108" s="139"/>
      <c r="B108" s="139"/>
      <c r="C108" s="44" t="s">
        <v>73</v>
      </c>
      <c r="D108" s="44" t="s">
        <v>8</v>
      </c>
      <c r="E108" s="44" t="s">
        <v>9</v>
      </c>
      <c r="F108" s="141"/>
      <c r="G108" s="139"/>
      <c r="H108" s="41"/>
    </row>
    <row r="109" spans="1:16" x14ac:dyDescent="0.2">
      <c r="A109" s="139" t="s">
        <v>84</v>
      </c>
      <c r="B109" s="44" t="s">
        <v>0</v>
      </c>
      <c r="C109" s="45">
        <v>4</v>
      </c>
      <c r="D109" s="45">
        <v>0</v>
      </c>
      <c r="E109" s="45">
        <v>0</v>
      </c>
      <c r="F109" s="49">
        <v>4.4999999999999998E-2</v>
      </c>
      <c r="G109" s="46">
        <v>4</v>
      </c>
      <c r="H109" s="41"/>
    </row>
    <row r="110" spans="1:16" x14ac:dyDescent="0.2">
      <c r="A110" s="139"/>
      <c r="B110" s="44" t="s">
        <v>31</v>
      </c>
      <c r="C110" s="45">
        <v>0</v>
      </c>
      <c r="D110" s="45">
        <v>20</v>
      </c>
      <c r="E110" s="45">
        <v>9</v>
      </c>
      <c r="F110" s="49">
        <v>0.33</v>
      </c>
      <c r="G110" s="46">
        <v>29</v>
      </c>
      <c r="H110" s="41"/>
    </row>
    <row r="111" spans="1:16" x14ac:dyDescent="0.2">
      <c r="A111" s="139"/>
      <c r="B111" s="44" t="s">
        <v>32</v>
      </c>
      <c r="C111" s="45">
        <v>0</v>
      </c>
      <c r="D111" s="45">
        <v>21</v>
      </c>
      <c r="E111" s="45">
        <v>12</v>
      </c>
      <c r="F111" s="49">
        <v>0.375</v>
      </c>
      <c r="G111" s="46">
        <v>33</v>
      </c>
      <c r="H111" s="41"/>
    </row>
    <row r="112" spans="1:16" x14ac:dyDescent="0.2">
      <c r="A112" s="139"/>
      <c r="B112" s="44" t="s">
        <v>33</v>
      </c>
      <c r="C112" s="45">
        <v>0</v>
      </c>
      <c r="D112" s="45">
        <v>6</v>
      </c>
      <c r="E112" s="45">
        <v>1</v>
      </c>
      <c r="F112" s="49">
        <v>0.08</v>
      </c>
      <c r="G112" s="46">
        <v>7</v>
      </c>
      <c r="H112" s="41"/>
    </row>
    <row r="113" spans="1:8" ht="17.25" customHeight="1" x14ac:dyDescent="0.2">
      <c r="A113" s="139"/>
      <c r="B113" s="44" t="s">
        <v>34</v>
      </c>
      <c r="C113" s="45">
        <v>0</v>
      </c>
      <c r="D113" s="45">
        <v>2</v>
      </c>
      <c r="E113" s="45">
        <v>5</v>
      </c>
      <c r="F113" s="49">
        <v>0.08</v>
      </c>
      <c r="G113" s="46">
        <v>7</v>
      </c>
      <c r="H113" s="41"/>
    </row>
    <row r="114" spans="1:8" x14ac:dyDescent="0.2">
      <c r="A114" s="139"/>
      <c r="B114" s="44" t="s">
        <v>35</v>
      </c>
      <c r="C114" s="45">
        <v>0</v>
      </c>
      <c r="D114" s="45">
        <v>7</v>
      </c>
      <c r="E114" s="45">
        <v>1</v>
      </c>
      <c r="F114" s="49">
        <v>0.09</v>
      </c>
      <c r="G114" s="46">
        <v>8</v>
      </c>
      <c r="H114" s="41"/>
    </row>
    <row r="115" spans="1:8" x14ac:dyDescent="0.2">
      <c r="A115" s="139" t="s">
        <v>7</v>
      </c>
      <c r="B115" s="139"/>
      <c r="C115" s="46">
        <v>4</v>
      </c>
      <c r="D115" s="46">
        <v>56</v>
      </c>
      <c r="E115" s="46">
        <v>28</v>
      </c>
      <c r="F115" s="49">
        <f>SUM(F109:F114)</f>
        <v>0.99999999999999989</v>
      </c>
      <c r="G115" s="46">
        <v>88</v>
      </c>
      <c r="H115" s="41"/>
    </row>
    <row r="116" spans="1:8" x14ac:dyDescent="0.25"/>
    <row r="117" spans="1:8" x14ac:dyDescent="0.25"/>
    <row r="118" spans="1:8" x14ac:dyDescent="0.25"/>
  </sheetData>
  <mergeCells count="71">
    <mergeCell ref="A2:N3"/>
    <mergeCell ref="A6:G6"/>
    <mergeCell ref="A7:B8"/>
    <mergeCell ref="C7:E7"/>
    <mergeCell ref="G7:G8"/>
    <mergeCell ref="A9:A14"/>
    <mergeCell ref="A15:B15"/>
    <mergeCell ref="A17:G17"/>
    <mergeCell ref="A18:B19"/>
    <mergeCell ref="C18:E18"/>
    <mergeCell ref="G18:G19"/>
    <mergeCell ref="A20:A25"/>
    <mergeCell ref="A26:B26"/>
    <mergeCell ref="A28:G28"/>
    <mergeCell ref="A29:B30"/>
    <mergeCell ref="C29:E29"/>
    <mergeCell ref="G29:G30"/>
    <mergeCell ref="A31:A36"/>
    <mergeCell ref="A37:B37"/>
    <mergeCell ref="A39:G39"/>
    <mergeCell ref="A40:B41"/>
    <mergeCell ref="C40:E40"/>
    <mergeCell ref="G40:G41"/>
    <mergeCell ref="A42:A47"/>
    <mergeCell ref="A48:B48"/>
    <mergeCell ref="A50:G50"/>
    <mergeCell ref="A51:B52"/>
    <mergeCell ref="C51:E51"/>
    <mergeCell ref="G51:G52"/>
    <mergeCell ref="A53:A58"/>
    <mergeCell ref="A59:B59"/>
    <mergeCell ref="A61:G61"/>
    <mergeCell ref="A62:B63"/>
    <mergeCell ref="C62:E62"/>
    <mergeCell ref="G62:G63"/>
    <mergeCell ref="A64:A69"/>
    <mergeCell ref="A70:B70"/>
    <mergeCell ref="A73:G73"/>
    <mergeCell ref="A74:B75"/>
    <mergeCell ref="C74:E74"/>
    <mergeCell ref="G74:G75"/>
    <mergeCell ref="A76:A81"/>
    <mergeCell ref="A82:B82"/>
    <mergeCell ref="A84:G84"/>
    <mergeCell ref="A85:B86"/>
    <mergeCell ref="C85:E85"/>
    <mergeCell ref="G85:G86"/>
    <mergeCell ref="C107:E107"/>
    <mergeCell ref="G107:G108"/>
    <mergeCell ref="A87:A92"/>
    <mergeCell ref="A93:B93"/>
    <mergeCell ref="A95:G95"/>
    <mergeCell ref="A96:B97"/>
    <mergeCell ref="C96:E96"/>
    <mergeCell ref="G96:G97"/>
    <mergeCell ref="A109:A114"/>
    <mergeCell ref="A115:B115"/>
    <mergeCell ref="F7:F8"/>
    <mergeCell ref="F18:F19"/>
    <mergeCell ref="F29:F30"/>
    <mergeCell ref="F40:F41"/>
    <mergeCell ref="F51:F52"/>
    <mergeCell ref="F62:F63"/>
    <mergeCell ref="F74:F75"/>
    <mergeCell ref="F85:F86"/>
    <mergeCell ref="F96:F97"/>
    <mergeCell ref="F107:F108"/>
    <mergeCell ref="A98:A103"/>
    <mergeCell ref="A104:B104"/>
    <mergeCell ref="A106:G106"/>
    <mergeCell ref="A107:B108"/>
  </mergeCell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N122"/>
  <sheetViews>
    <sheetView workbookViewId="0">
      <selection activeCell="L11" sqref="L11"/>
    </sheetView>
  </sheetViews>
  <sheetFormatPr defaultRowHeight="15" x14ac:dyDescent="0.25"/>
  <cols>
    <col min="4" max="4" width="24" customWidth="1"/>
    <col min="5" max="5" width="17.7109375" customWidth="1"/>
    <col min="6" max="6" width="10.85546875" customWidth="1"/>
    <col min="8" max="8" width="12" customWidth="1"/>
    <col min="10" max="10" width="9.140625" style="97"/>
    <col min="13" max="13" width="9.140625" style="97"/>
  </cols>
  <sheetData>
    <row r="2" spans="4:14" x14ac:dyDescent="0.25">
      <c r="D2" s="144" t="s">
        <v>62</v>
      </c>
      <c r="E2" s="144"/>
      <c r="F2" s="144"/>
      <c r="G2" s="144"/>
      <c r="H2" s="144"/>
      <c r="I2" s="144"/>
      <c r="J2" s="144"/>
      <c r="K2" s="144"/>
      <c r="L2" s="144"/>
      <c r="M2" s="144"/>
      <c r="N2" s="144"/>
    </row>
    <row r="3" spans="4:14" x14ac:dyDescent="0.25"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5" spans="4:14" ht="15.75" thickBot="1" x14ac:dyDescent="0.3">
      <c r="D5" s="121" t="s">
        <v>182</v>
      </c>
      <c r="E5" s="121"/>
      <c r="F5" s="121"/>
      <c r="G5" s="121"/>
      <c r="H5" s="121"/>
      <c r="I5" s="121"/>
      <c r="J5" s="121"/>
      <c r="K5" s="121"/>
    </row>
    <row r="6" spans="4:14" x14ac:dyDescent="0.25">
      <c r="D6" s="122" t="s">
        <v>0</v>
      </c>
      <c r="E6" s="123"/>
      <c r="F6" s="123" t="s">
        <v>169</v>
      </c>
      <c r="G6" s="123"/>
      <c r="H6" s="123"/>
      <c r="I6" s="123"/>
      <c r="J6" s="146" t="s">
        <v>59</v>
      </c>
      <c r="K6" s="126" t="s">
        <v>7</v>
      </c>
    </row>
    <row r="7" spans="4:14" ht="24.75" thickBot="1" x14ac:dyDescent="0.3">
      <c r="D7" s="124"/>
      <c r="E7" s="125"/>
      <c r="F7" s="93" t="s">
        <v>47</v>
      </c>
      <c r="G7" s="93" t="s">
        <v>4</v>
      </c>
      <c r="H7" s="93" t="s">
        <v>5</v>
      </c>
      <c r="I7" s="93" t="s">
        <v>6</v>
      </c>
      <c r="J7" s="147"/>
      <c r="K7" s="127"/>
    </row>
    <row r="8" spans="4:14" x14ac:dyDescent="0.25">
      <c r="D8" s="130" t="s">
        <v>72</v>
      </c>
      <c r="E8" s="29"/>
      <c r="F8" s="34">
        <v>4</v>
      </c>
      <c r="G8" s="34">
        <v>0</v>
      </c>
      <c r="H8" s="34">
        <v>0</v>
      </c>
      <c r="I8" s="34">
        <v>0</v>
      </c>
      <c r="J8" s="37">
        <v>4.4999999999999998E-2</v>
      </c>
      <c r="K8" s="38">
        <f t="shared" ref="K8:K13" si="0">SUM(F8:J8)</f>
        <v>4.0449999999999999</v>
      </c>
      <c r="L8" s="94"/>
    </row>
    <row r="9" spans="4:14" x14ac:dyDescent="0.25">
      <c r="D9" s="131"/>
      <c r="E9" s="25" t="s">
        <v>31</v>
      </c>
      <c r="F9" s="26">
        <v>0</v>
      </c>
      <c r="G9" s="26">
        <v>4</v>
      </c>
      <c r="H9" s="26">
        <v>8</v>
      </c>
      <c r="I9" s="26">
        <v>6</v>
      </c>
      <c r="J9" s="39">
        <v>0.20499999999999999</v>
      </c>
      <c r="K9" s="38">
        <f t="shared" si="0"/>
        <v>18.204999999999998</v>
      </c>
      <c r="L9" s="94"/>
    </row>
    <row r="10" spans="4:14" x14ac:dyDescent="0.25">
      <c r="D10" s="131"/>
      <c r="E10" s="25" t="s">
        <v>32</v>
      </c>
      <c r="F10" s="26">
        <v>0</v>
      </c>
      <c r="G10" s="26">
        <v>2</v>
      </c>
      <c r="H10" s="26">
        <v>11</v>
      </c>
      <c r="I10" s="26">
        <v>18</v>
      </c>
      <c r="J10" s="39">
        <v>0.35199999999999998</v>
      </c>
      <c r="K10" s="38">
        <f t="shared" si="0"/>
        <v>31.352</v>
      </c>
      <c r="L10" s="94"/>
    </row>
    <row r="11" spans="4:14" x14ac:dyDescent="0.25">
      <c r="D11" s="131"/>
      <c r="E11" s="25" t="s">
        <v>33</v>
      </c>
      <c r="F11" s="26">
        <v>0</v>
      </c>
      <c r="G11" s="26">
        <v>2</v>
      </c>
      <c r="H11" s="26">
        <v>3</v>
      </c>
      <c r="I11" s="26">
        <v>6</v>
      </c>
      <c r="J11" s="39">
        <v>0.125</v>
      </c>
      <c r="K11" s="38">
        <f t="shared" si="0"/>
        <v>11.125</v>
      </c>
      <c r="L11" s="94"/>
    </row>
    <row r="12" spans="4:14" x14ac:dyDescent="0.25">
      <c r="D12" s="131"/>
      <c r="E12" s="25" t="s">
        <v>34</v>
      </c>
      <c r="F12" s="26">
        <v>0</v>
      </c>
      <c r="G12" s="26">
        <v>5</v>
      </c>
      <c r="H12" s="26">
        <v>2</v>
      </c>
      <c r="I12" s="26">
        <v>8</v>
      </c>
      <c r="J12" s="39">
        <v>0.17</v>
      </c>
      <c r="K12" s="38">
        <f t="shared" si="0"/>
        <v>15.17</v>
      </c>
      <c r="L12" s="94"/>
    </row>
    <row r="13" spans="4:14" x14ac:dyDescent="0.25">
      <c r="D13" s="131"/>
      <c r="E13" s="25" t="s">
        <v>35</v>
      </c>
      <c r="F13" s="26">
        <v>0</v>
      </c>
      <c r="G13" s="26">
        <v>1</v>
      </c>
      <c r="H13" s="26">
        <v>3</v>
      </c>
      <c r="I13" s="26">
        <v>5</v>
      </c>
      <c r="J13" s="39">
        <v>0.10299999999999999</v>
      </c>
      <c r="K13" s="38">
        <f t="shared" si="0"/>
        <v>9.1029999999999998</v>
      </c>
      <c r="L13" s="94"/>
    </row>
    <row r="14" spans="4:14" ht="15.75" thickBot="1" x14ac:dyDescent="0.3">
      <c r="D14" s="124" t="s">
        <v>7</v>
      </c>
      <c r="E14" s="125"/>
      <c r="F14" s="30">
        <f>SUM(F8:F13)</f>
        <v>4</v>
      </c>
      <c r="G14" s="30">
        <f t="shared" ref="G14:J14" si="1">SUM(G8:G13)</f>
        <v>14</v>
      </c>
      <c r="H14" s="30">
        <f t="shared" si="1"/>
        <v>27</v>
      </c>
      <c r="I14" s="30">
        <f t="shared" si="1"/>
        <v>43</v>
      </c>
      <c r="J14" s="99">
        <f t="shared" si="1"/>
        <v>1</v>
      </c>
      <c r="K14" s="30">
        <v>88</v>
      </c>
    </row>
    <row r="17" spans="4:12" ht="25.5" customHeight="1" thickBot="1" x14ac:dyDescent="0.3">
      <c r="D17" s="121" t="s">
        <v>183</v>
      </c>
      <c r="E17" s="121"/>
      <c r="F17" s="121"/>
      <c r="G17" s="121"/>
      <c r="H17" s="121"/>
      <c r="I17" s="121"/>
      <c r="J17" s="121"/>
      <c r="K17" s="121"/>
    </row>
    <row r="18" spans="4:12" x14ac:dyDescent="0.25">
      <c r="D18" s="122" t="s">
        <v>0</v>
      </c>
      <c r="E18" s="123"/>
      <c r="F18" s="123" t="s">
        <v>169</v>
      </c>
      <c r="G18" s="123"/>
      <c r="H18" s="123"/>
      <c r="I18" s="123"/>
      <c r="J18" s="146" t="s">
        <v>59</v>
      </c>
      <c r="K18" s="126" t="s">
        <v>7</v>
      </c>
    </row>
    <row r="19" spans="4:12" ht="24.75" thickBot="1" x14ac:dyDescent="0.3">
      <c r="D19" s="124"/>
      <c r="E19" s="125"/>
      <c r="F19" s="93" t="s">
        <v>47</v>
      </c>
      <c r="G19" s="93" t="s">
        <v>4</v>
      </c>
      <c r="H19" s="93" t="s">
        <v>5</v>
      </c>
      <c r="I19" s="93" t="s">
        <v>6</v>
      </c>
      <c r="J19" s="147"/>
      <c r="K19" s="127"/>
    </row>
    <row r="20" spans="4:12" x14ac:dyDescent="0.25">
      <c r="D20" s="130" t="s">
        <v>75</v>
      </c>
      <c r="E20" s="29"/>
      <c r="F20" s="34">
        <v>4</v>
      </c>
      <c r="G20" s="34">
        <v>0</v>
      </c>
      <c r="H20" s="34">
        <v>0</v>
      </c>
      <c r="I20" s="34">
        <v>0</v>
      </c>
      <c r="J20" s="37">
        <v>4.4999999999999998E-2</v>
      </c>
      <c r="K20" s="38">
        <f t="shared" ref="K20:K25" si="2">SUM(F20:J20)</f>
        <v>4.0449999999999999</v>
      </c>
      <c r="L20" s="94"/>
    </row>
    <row r="21" spans="4:12" x14ac:dyDescent="0.25">
      <c r="D21" s="131"/>
      <c r="E21" s="25" t="s">
        <v>31</v>
      </c>
      <c r="F21" s="26">
        <v>0</v>
      </c>
      <c r="G21" s="26">
        <v>6</v>
      </c>
      <c r="H21" s="26">
        <v>9</v>
      </c>
      <c r="I21" s="26">
        <v>9</v>
      </c>
      <c r="J21" s="39">
        <v>0.27300000000000002</v>
      </c>
      <c r="K21" s="38">
        <f t="shared" si="2"/>
        <v>24.273</v>
      </c>
      <c r="L21" s="94"/>
    </row>
    <row r="22" spans="4:12" x14ac:dyDescent="0.25">
      <c r="D22" s="131"/>
      <c r="E22" s="25" t="s">
        <v>32</v>
      </c>
      <c r="F22" s="26">
        <v>0</v>
      </c>
      <c r="G22" s="26">
        <v>2</v>
      </c>
      <c r="H22" s="26">
        <v>14</v>
      </c>
      <c r="I22" s="26">
        <v>22</v>
      </c>
      <c r="J22" s="39">
        <v>0.432</v>
      </c>
      <c r="K22" s="38">
        <f t="shared" si="2"/>
        <v>38.432000000000002</v>
      </c>
      <c r="L22" s="94"/>
    </row>
    <row r="23" spans="4:12" x14ac:dyDescent="0.25">
      <c r="D23" s="131"/>
      <c r="E23" s="25" t="s">
        <v>33</v>
      </c>
      <c r="F23" s="26">
        <v>0</v>
      </c>
      <c r="G23" s="26">
        <v>3</v>
      </c>
      <c r="H23" s="26">
        <v>1</v>
      </c>
      <c r="I23" s="26">
        <v>2</v>
      </c>
      <c r="J23" s="39">
        <v>6.8000000000000005E-2</v>
      </c>
      <c r="K23" s="38">
        <f t="shared" si="2"/>
        <v>6.0679999999999996</v>
      </c>
      <c r="L23" s="94"/>
    </row>
    <row r="24" spans="4:12" x14ac:dyDescent="0.25">
      <c r="D24" s="131"/>
      <c r="E24" s="25" t="s">
        <v>34</v>
      </c>
      <c r="F24" s="26">
        <v>0</v>
      </c>
      <c r="G24" s="26">
        <v>1</v>
      </c>
      <c r="H24" s="26">
        <v>2</v>
      </c>
      <c r="I24" s="26">
        <v>4</v>
      </c>
      <c r="J24" s="39">
        <v>0.08</v>
      </c>
      <c r="K24" s="38">
        <f t="shared" si="2"/>
        <v>7.08</v>
      </c>
      <c r="L24" s="94"/>
    </row>
    <row r="25" spans="4:12" x14ac:dyDescent="0.25">
      <c r="D25" s="131"/>
      <c r="E25" s="25" t="s">
        <v>35</v>
      </c>
      <c r="F25" s="26">
        <v>0</v>
      </c>
      <c r="G25" s="26">
        <v>2</v>
      </c>
      <c r="H25" s="26">
        <v>1</v>
      </c>
      <c r="I25" s="26">
        <v>6</v>
      </c>
      <c r="J25" s="39">
        <v>0.10199999999999999</v>
      </c>
      <c r="K25" s="38">
        <f t="shared" si="2"/>
        <v>9.1020000000000003</v>
      </c>
      <c r="L25" s="94"/>
    </row>
    <row r="26" spans="4:12" ht="15.75" thickBot="1" x14ac:dyDescent="0.3">
      <c r="D26" s="124" t="s">
        <v>7</v>
      </c>
      <c r="E26" s="125"/>
      <c r="F26" s="30">
        <f>SUM(F20:F25)</f>
        <v>4</v>
      </c>
      <c r="G26" s="30">
        <f t="shared" ref="G26:J26" si="3">SUM(G20:G25)</f>
        <v>14</v>
      </c>
      <c r="H26" s="30">
        <f t="shared" si="3"/>
        <v>27</v>
      </c>
      <c r="I26" s="30">
        <f t="shared" si="3"/>
        <v>43</v>
      </c>
      <c r="J26" s="99">
        <f t="shared" si="3"/>
        <v>1</v>
      </c>
      <c r="K26" s="30">
        <v>88</v>
      </c>
    </row>
    <row r="29" spans="4:12" ht="25.5" customHeight="1" thickBot="1" x14ac:dyDescent="0.3">
      <c r="D29" s="121" t="s">
        <v>184</v>
      </c>
      <c r="E29" s="121"/>
      <c r="F29" s="121"/>
      <c r="G29" s="121"/>
      <c r="H29" s="121"/>
      <c r="I29" s="121"/>
      <c r="J29" s="121"/>
      <c r="K29" s="121"/>
    </row>
    <row r="30" spans="4:12" x14ac:dyDescent="0.25">
      <c r="D30" s="122" t="s">
        <v>0</v>
      </c>
      <c r="E30" s="123"/>
      <c r="F30" s="123" t="s">
        <v>169</v>
      </c>
      <c r="G30" s="123"/>
      <c r="H30" s="123"/>
      <c r="I30" s="123"/>
      <c r="J30" s="146" t="s">
        <v>59</v>
      </c>
      <c r="K30" s="126" t="s">
        <v>7</v>
      </c>
    </row>
    <row r="31" spans="4:12" ht="24.75" thickBot="1" x14ac:dyDescent="0.3">
      <c r="D31" s="124"/>
      <c r="E31" s="125"/>
      <c r="F31" s="93" t="s">
        <v>47</v>
      </c>
      <c r="G31" s="93" t="s">
        <v>4</v>
      </c>
      <c r="H31" s="93" t="s">
        <v>5</v>
      </c>
      <c r="I31" s="93" t="s">
        <v>6</v>
      </c>
      <c r="J31" s="147"/>
      <c r="K31" s="127"/>
    </row>
    <row r="32" spans="4:12" x14ac:dyDescent="0.25">
      <c r="D32" s="130" t="s">
        <v>76</v>
      </c>
      <c r="E32" s="29"/>
      <c r="F32" s="34">
        <v>4</v>
      </c>
      <c r="G32" s="34">
        <v>0</v>
      </c>
      <c r="H32" s="34">
        <v>0</v>
      </c>
      <c r="I32" s="34">
        <v>0</v>
      </c>
      <c r="J32" s="37">
        <v>4.4999999999999998E-2</v>
      </c>
      <c r="K32" s="38">
        <f t="shared" ref="K32:K37" si="4">SUM(F32:J32)</f>
        <v>4.0449999999999999</v>
      </c>
      <c r="L32" s="94"/>
    </row>
    <row r="33" spans="4:12" x14ac:dyDescent="0.25">
      <c r="D33" s="131"/>
      <c r="E33" s="25" t="s">
        <v>31</v>
      </c>
      <c r="F33" s="26">
        <v>0</v>
      </c>
      <c r="G33" s="26">
        <v>9</v>
      </c>
      <c r="H33" s="26">
        <v>6</v>
      </c>
      <c r="I33" s="26">
        <v>3</v>
      </c>
      <c r="J33" s="39">
        <v>0.20399999999999999</v>
      </c>
      <c r="K33" s="38">
        <f t="shared" si="4"/>
        <v>18.204000000000001</v>
      </c>
      <c r="L33" s="94"/>
    </row>
    <row r="34" spans="4:12" x14ac:dyDescent="0.25">
      <c r="D34" s="131"/>
      <c r="E34" s="25" t="s">
        <v>32</v>
      </c>
      <c r="F34" s="26">
        <v>0</v>
      </c>
      <c r="G34" s="26">
        <v>3</v>
      </c>
      <c r="H34" s="26">
        <v>18</v>
      </c>
      <c r="I34" s="26">
        <v>30</v>
      </c>
      <c r="J34" s="39">
        <v>0.57999999999999996</v>
      </c>
      <c r="K34" s="38">
        <f t="shared" si="4"/>
        <v>51.58</v>
      </c>
      <c r="L34" s="94"/>
    </row>
    <row r="35" spans="4:12" x14ac:dyDescent="0.25">
      <c r="D35" s="131"/>
      <c r="E35" s="25" t="s">
        <v>33</v>
      </c>
      <c r="F35" s="26">
        <v>0</v>
      </c>
      <c r="G35" s="26">
        <v>0</v>
      </c>
      <c r="H35" s="26">
        <v>2</v>
      </c>
      <c r="I35" s="26">
        <v>5</v>
      </c>
      <c r="J35" s="39">
        <v>0.08</v>
      </c>
      <c r="K35" s="38">
        <f t="shared" si="4"/>
        <v>7.08</v>
      </c>
      <c r="L35" s="94"/>
    </row>
    <row r="36" spans="4:12" x14ac:dyDescent="0.25">
      <c r="D36" s="131"/>
      <c r="E36" s="25" t="s">
        <v>34</v>
      </c>
      <c r="F36" s="26">
        <v>0</v>
      </c>
      <c r="G36" s="26">
        <v>2</v>
      </c>
      <c r="H36" s="26">
        <v>1</v>
      </c>
      <c r="I36" s="26">
        <v>3</v>
      </c>
      <c r="J36" s="39">
        <v>6.8000000000000005E-2</v>
      </c>
      <c r="K36" s="38">
        <f t="shared" si="4"/>
        <v>6.0679999999999996</v>
      </c>
      <c r="L36" s="94"/>
    </row>
    <row r="37" spans="4:12" x14ac:dyDescent="0.25">
      <c r="D37" s="131"/>
      <c r="E37" s="25" t="s">
        <v>35</v>
      </c>
      <c r="F37" s="26">
        <v>0</v>
      </c>
      <c r="G37" s="26">
        <v>0</v>
      </c>
      <c r="H37" s="26">
        <v>0</v>
      </c>
      <c r="I37" s="26">
        <v>2</v>
      </c>
      <c r="J37" s="39">
        <v>2.3E-2</v>
      </c>
      <c r="K37" s="38">
        <f t="shared" si="4"/>
        <v>2.0230000000000001</v>
      </c>
      <c r="L37" s="94"/>
    </row>
    <row r="38" spans="4:12" ht="15.75" thickBot="1" x14ac:dyDescent="0.3">
      <c r="D38" s="124" t="s">
        <v>7</v>
      </c>
      <c r="E38" s="125"/>
      <c r="F38" s="30">
        <f>SUM(F32:F37)</f>
        <v>4</v>
      </c>
      <c r="G38" s="30">
        <f t="shared" ref="G38:J38" si="5">SUM(G32:G37)</f>
        <v>14</v>
      </c>
      <c r="H38" s="30">
        <f t="shared" si="5"/>
        <v>27</v>
      </c>
      <c r="I38" s="30">
        <f t="shared" si="5"/>
        <v>43</v>
      </c>
      <c r="J38" s="99">
        <f t="shared" si="5"/>
        <v>0.99999999999999989</v>
      </c>
      <c r="K38" s="30">
        <v>88</v>
      </c>
    </row>
    <row r="41" spans="4:12" ht="31.5" customHeight="1" thickBot="1" x14ac:dyDescent="0.3">
      <c r="D41" s="121" t="s">
        <v>185</v>
      </c>
      <c r="E41" s="121"/>
      <c r="F41" s="121"/>
      <c r="G41" s="121"/>
      <c r="H41" s="121"/>
      <c r="I41" s="121"/>
      <c r="J41" s="121"/>
      <c r="K41" s="121"/>
    </row>
    <row r="42" spans="4:12" x14ac:dyDescent="0.25">
      <c r="D42" s="122" t="s">
        <v>0</v>
      </c>
      <c r="E42" s="123"/>
      <c r="F42" s="123" t="s">
        <v>169</v>
      </c>
      <c r="G42" s="123"/>
      <c r="H42" s="123"/>
      <c r="I42" s="123"/>
      <c r="J42" s="146" t="s">
        <v>59</v>
      </c>
      <c r="K42" s="126" t="s">
        <v>7</v>
      </c>
    </row>
    <row r="43" spans="4:12" ht="24.75" thickBot="1" x14ac:dyDescent="0.3">
      <c r="D43" s="124"/>
      <c r="E43" s="125"/>
      <c r="F43" s="93" t="s">
        <v>47</v>
      </c>
      <c r="G43" s="93" t="s">
        <v>4</v>
      </c>
      <c r="H43" s="93" t="s">
        <v>5</v>
      </c>
      <c r="I43" s="93" t="s">
        <v>6</v>
      </c>
      <c r="J43" s="147"/>
      <c r="K43" s="127"/>
    </row>
    <row r="44" spans="4:12" x14ac:dyDescent="0.25">
      <c r="D44" s="130" t="s">
        <v>78</v>
      </c>
      <c r="E44" s="29"/>
      <c r="F44" s="34">
        <v>4</v>
      </c>
      <c r="G44" s="34">
        <v>0</v>
      </c>
      <c r="H44" s="34">
        <v>0</v>
      </c>
      <c r="I44" s="34">
        <v>0</v>
      </c>
      <c r="J44" s="37">
        <v>4.4999999999999998E-2</v>
      </c>
      <c r="K44" s="38">
        <f t="shared" ref="K44:K49" si="6">SUM(F44:J44)</f>
        <v>4.0449999999999999</v>
      </c>
      <c r="L44" s="94"/>
    </row>
    <row r="45" spans="4:12" x14ac:dyDescent="0.25">
      <c r="D45" s="131"/>
      <c r="E45" s="25" t="s">
        <v>31</v>
      </c>
      <c r="F45" s="26">
        <v>0</v>
      </c>
      <c r="G45" s="26">
        <v>5</v>
      </c>
      <c r="H45" s="26">
        <v>12</v>
      </c>
      <c r="I45" s="26">
        <v>5</v>
      </c>
      <c r="J45" s="39">
        <v>0.25</v>
      </c>
      <c r="K45" s="38">
        <f t="shared" si="6"/>
        <v>22.25</v>
      </c>
      <c r="L45" s="94"/>
    </row>
    <row r="46" spans="4:12" x14ac:dyDescent="0.25">
      <c r="D46" s="131"/>
      <c r="E46" s="25" t="s">
        <v>32</v>
      </c>
      <c r="F46" s="26">
        <v>0</v>
      </c>
      <c r="G46" s="26">
        <v>4</v>
      </c>
      <c r="H46" s="26">
        <v>8</v>
      </c>
      <c r="I46" s="26">
        <v>26</v>
      </c>
      <c r="J46" s="39">
        <v>0.432</v>
      </c>
      <c r="K46" s="38">
        <f t="shared" si="6"/>
        <v>38.432000000000002</v>
      </c>
      <c r="L46" s="94"/>
    </row>
    <row r="47" spans="4:12" x14ac:dyDescent="0.25">
      <c r="D47" s="131"/>
      <c r="E47" s="25" t="s">
        <v>33</v>
      </c>
      <c r="F47" s="26">
        <v>0</v>
      </c>
      <c r="G47" s="26">
        <v>1</v>
      </c>
      <c r="H47" s="26">
        <v>4</v>
      </c>
      <c r="I47" s="26">
        <v>4</v>
      </c>
      <c r="J47" s="39">
        <v>0.10199999999999999</v>
      </c>
      <c r="K47" s="38">
        <f t="shared" si="6"/>
        <v>9.1020000000000003</v>
      </c>
      <c r="L47" s="94"/>
    </row>
    <row r="48" spans="4:12" x14ac:dyDescent="0.25">
      <c r="D48" s="131"/>
      <c r="E48" s="25" t="s">
        <v>34</v>
      </c>
      <c r="F48" s="26">
        <v>0</v>
      </c>
      <c r="G48" s="26">
        <v>2</v>
      </c>
      <c r="H48" s="26">
        <v>1</v>
      </c>
      <c r="I48" s="26">
        <v>4</v>
      </c>
      <c r="J48" s="39">
        <v>0.08</v>
      </c>
      <c r="K48" s="38">
        <f t="shared" si="6"/>
        <v>7.08</v>
      </c>
      <c r="L48" s="94"/>
    </row>
    <row r="49" spans="4:12" x14ac:dyDescent="0.25">
      <c r="D49" s="131"/>
      <c r="E49" s="25" t="s">
        <v>35</v>
      </c>
      <c r="F49" s="26">
        <v>0</v>
      </c>
      <c r="G49" s="26">
        <v>2</v>
      </c>
      <c r="H49" s="26">
        <v>2</v>
      </c>
      <c r="I49" s="26">
        <v>4</v>
      </c>
      <c r="J49" s="39">
        <v>9.0999999999999998E-2</v>
      </c>
      <c r="K49" s="38">
        <f t="shared" si="6"/>
        <v>8.0909999999999993</v>
      </c>
      <c r="L49" s="94"/>
    </row>
    <row r="50" spans="4:12" ht="15.75" thickBot="1" x14ac:dyDescent="0.3">
      <c r="D50" s="124" t="s">
        <v>7</v>
      </c>
      <c r="E50" s="125"/>
      <c r="F50" s="30">
        <f>SUM(F44:F49)</f>
        <v>4</v>
      </c>
      <c r="G50" s="30">
        <f t="shared" ref="G50:J50" si="7">SUM(G44:G49)</f>
        <v>14</v>
      </c>
      <c r="H50" s="30">
        <f t="shared" si="7"/>
        <v>27</v>
      </c>
      <c r="I50" s="30">
        <f t="shared" si="7"/>
        <v>43</v>
      </c>
      <c r="J50" s="99">
        <f t="shared" si="7"/>
        <v>0.99999999999999989</v>
      </c>
      <c r="K50" s="30">
        <v>88</v>
      </c>
    </row>
    <row r="53" spans="4:12" ht="30" customHeight="1" thickBot="1" x14ac:dyDescent="0.3">
      <c r="D53" s="121" t="s">
        <v>186</v>
      </c>
      <c r="E53" s="121"/>
      <c r="F53" s="121"/>
      <c r="G53" s="121"/>
      <c r="H53" s="121"/>
      <c r="I53" s="121"/>
      <c r="J53" s="121"/>
      <c r="K53" s="121"/>
    </row>
    <row r="54" spans="4:12" x14ac:dyDescent="0.25">
      <c r="D54" s="122" t="s">
        <v>0</v>
      </c>
      <c r="E54" s="123"/>
      <c r="F54" s="123" t="s">
        <v>169</v>
      </c>
      <c r="G54" s="123"/>
      <c r="H54" s="123"/>
      <c r="I54" s="123"/>
      <c r="J54" s="146" t="s">
        <v>59</v>
      </c>
      <c r="K54" s="126" t="s">
        <v>7</v>
      </c>
    </row>
    <row r="55" spans="4:12" ht="24.75" thickBot="1" x14ac:dyDescent="0.3">
      <c r="D55" s="124"/>
      <c r="E55" s="125"/>
      <c r="F55" s="93" t="s">
        <v>47</v>
      </c>
      <c r="G55" s="93" t="s">
        <v>4</v>
      </c>
      <c r="H55" s="93" t="s">
        <v>5</v>
      </c>
      <c r="I55" s="93" t="s">
        <v>6</v>
      </c>
      <c r="J55" s="147"/>
      <c r="K55" s="127"/>
    </row>
    <row r="56" spans="4:12" x14ac:dyDescent="0.25">
      <c r="D56" s="130" t="s">
        <v>79</v>
      </c>
      <c r="E56" s="29"/>
      <c r="F56" s="34">
        <v>4</v>
      </c>
      <c r="G56" s="34">
        <v>0</v>
      </c>
      <c r="H56" s="34">
        <v>0</v>
      </c>
      <c r="I56" s="34">
        <v>0</v>
      </c>
      <c r="J56" s="37">
        <v>4.4999999999999998E-2</v>
      </c>
      <c r="K56" s="38">
        <f t="shared" ref="K56:K61" si="8">SUM(F56:J56)</f>
        <v>4.0449999999999999</v>
      </c>
      <c r="L56" s="94"/>
    </row>
    <row r="57" spans="4:12" x14ac:dyDescent="0.25">
      <c r="D57" s="131"/>
      <c r="E57" s="25" t="s">
        <v>31</v>
      </c>
      <c r="F57" s="26">
        <v>0</v>
      </c>
      <c r="G57" s="26">
        <v>6</v>
      </c>
      <c r="H57" s="26">
        <v>13</v>
      </c>
      <c r="I57" s="26">
        <v>4</v>
      </c>
      <c r="J57" s="39">
        <v>0.26100000000000001</v>
      </c>
      <c r="K57" s="38">
        <f t="shared" si="8"/>
        <v>23.260999999999999</v>
      </c>
      <c r="L57" s="94"/>
    </row>
    <row r="58" spans="4:12" x14ac:dyDescent="0.25">
      <c r="D58" s="131"/>
      <c r="E58" s="25" t="s">
        <v>32</v>
      </c>
      <c r="F58" s="26">
        <v>0</v>
      </c>
      <c r="G58" s="26">
        <v>2</v>
      </c>
      <c r="H58" s="26">
        <v>9</v>
      </c>
      <c r="I58" s="26">
        <v>21</v>
      </c>
      <c r="J58" s="39">
        <v>0.36399999999999999</v>
      </c>
      <c r="K58" s="38">
        <f t="shared" si="8"/>
        <v>32.363999999999997</v>
      </c>
      <c r="L58" s="94"/>
    </row>
    <row r="59" spans="4:12" x14ac:dyDescent="0.25">
      <c r="D59" s="131"/>
      <c r="E59" s="25" t="s">
        <v>33</v>
      </c>
      <c r="F59" s="26">
        <v>0</v>
      </c>
      <c r="G59" s="26">
        <v>2</v>
      </c>
      <c r="H59" s="26">
        <v>2</v>
      </c>
      <c r="I59" s="26">
        <v>3</v>
      </c>
      <c r="J59" s="39">
        <v>0.08</v>
      </c>
      <c r="K59" s="38">
        <f t="shared" si="8"/>
        <v>7.08</v>
      </c>
      <c r="L59" s="94"/>
    </row>
    <row r="60" spans="4:12" x14ac:dyDescent="0.25">
      <c r="D60" s="131"/>
      <c r="E60" s="25" t="s">
        <v>34</v>
      </c>
      <c r="F60" s="26">
        <v>0</v>
      </c>
      <c r="G60" s="26">
        <v>1</v>
      </c>
      <c r="H60" s="26">
        <v>2</v>
      </c>
      <c r="I60" s="26">
        <v>8</v>
      </c>
      <c r="J60" s="39">
        <v>0.125</v>
      </c>
      <c r="K60" s="38">
        <f t="shared" si="8"/>
        <v>11.125</v>
      </c>
      <c r="L60" s="94"/>
    </row>
    <row r="61" spans="4:12" x14ac:dyDescent="0.25">
      <c r="D61" s="131"/>
      <c r="E61" s="25" t="s">
        <v>35</v>
      </c>
      <c r="F61" s="26">
        <v>0</v>
      </c>
      <c r="G61" s="26">
        <v>3</v>
      </c>
      <c r="H61" s="26">
        <v>1</v>
      </c>
      <c r="I61" s="26">
        <v>7</v>
      </c>
      <c r="J61" s="39">
        <v>0.125</v>
      </c>
      <c r="K61" s="38">
        <f t="shared" si="8"/>
        <v>11.125</v>
      </c>
      <c r="L61" s="94"/>
    </row>
    <row r="62" spans="4:12" ht="15.75" thickBot="1" x14ac:dyDescent="0.3">
      <c r="D62" s="124" t="s">
        <v>7</v>
      </c>
      <c r="E62" s="125"/>
      <c r="F62" s="30">
        <f>SUM(F56:F61)</f>
        <v>4</v>
      </c>
      <c r="G62" s="30">
        <f t="shared" ref="G62:K62" si="9">SUM(G56:G61)</f>
        <v>14</v>
      </c>
      <c r="H62" s="30">
        <f t="shared" si="9"/>
        <v>27</v>
      </c>
      <c r="I62" s="30">
        <f t="shared" si="9"/>
        <v>43</v>
      </c>
      <c r="J62" s="99">
        <f t="shared" si="9"/>
        <v>0.99999999999999989</v>
      </c>
      <c r="K62" s="30">
        <f t="shared" si="9"/>
        <v>89</v>
      </c>
    </row>
    <row r="65" spans="4:12" ht="15.75" thickBot="1" x14ac:dyDescent="0.3">
      <c r="D65" s="121" t="s">
        <v>187</v>
      </c>
      <c r="E65" s="121"/>
      <c r="F65" s="121"/>
      <c r="G65" s="121"/>
      <c r="H65" s="121"/>
      <c r="I65" s="121"/>
      <c r="J65" s="121"/>
      <c r="K65" s="121"/>
    </row>
    <row r="66" spans="4:12" x14ac:dyDescent="0.25">
      <c r="D66" s="122" t="s">
        <v>0</v>
      </c>
      <c r="E66" s="123"/>
      <c r="F66" s="123" t="s">
        <v>169</v>
      </c>
      <c r="G66" s="123"/>
      <c r="H66" s="123"/>
      <c r="I66" s="123"/>
      <c r="J66" s="146" t="s">
        <v>59</v>
      </c>
      <c r="K66" s="126" t="s">
        <v>7</v>
      </c>
    </row>
    <row r="67" spans="4:12" ht="24.75" thickBot="1" x14ac:dyDescent="0.3">
      <c r="D67" s="124"/>
      <c r="E67" s="125"/>
      <c r="F67" s="93" t="s">
        <v>47</v>
      </c>
      <c r="G67" s="93" t="s">
        <v>4</v>
      </c>
      <c r="H67" s="93" t="s">
        <v>5</v>
      </c>
      <c r="I67" s="93" t="s">
        <v>6</v>
      </c>
      <c r="J67" s="147"/>
      <c r="K67" s="127"/>
    </row>
    <row r="68" spans="4:12" x14ac:dyDescent="0.25">
      <c r="D68" s="130" t="s">
        <v>80</v>
      </c>
      <c r="E68" s="29"/>
      <c r="F68" s="34">
        <v>4</v>
      </c>
      <c r="G68" s="34">
        <v>0</v>
      </c>
      <c r="H68" s="34">
        <v>0</v>
      </c>
      <c r="I68" s="34">
        <v>0</v>
      </c>
      <c r="J68" s="37">
        <v>4.4999999999999998E-2</v>
      </c>
      <c r="K68" s="38">
        <f t="shared" ref="K68:K73" si="10">SUM(F68:J68)</f>
        <v>4.0449999999999999</v>
      </c>
      <c r="L68" s="94"/>
    </row>
    <row r="69" spans="4:12" x14ac:dyDescent="0.25">
      <c r="D69" s="131"/>
      <c r="E69" s="25" t="s">
        <v>31</v>
      </c>
      <c r="F69" s="26">
        <v>0</v>
      </c>
      <c r="G69" s="26">
        <v>6</v>
      </c>
      <c r="H69" s="26">
        <v>2</v>
      </c>
      <c r="I69" s="26">
        <v>7</v>
      </c>
      <c r="J69" s="39">
        <v>0.17100000000000001</v>
      </c>
      <c r="K69" s="38">
        <f t="shared" si="10"/>
        <v>15.170999999999999</v>
      </c>
      <c r="L69" s="94"/>
    </row>
    <row r="70" spans="4:12" x14ac:dyDescent="0.25">
      <c r="D70" s="131"/>
      <c r="E70" s="25" t="s">
        <v>32</v>
      </c>
      <c r="F70" s="26">
        <v>0</v>
      </c>
      <c r="G70" s="26">
        <v>1</v>
      </c>
      <c r="H70" s="26">
        <v>3</v>
      </c>
      <c r="I70" s="26">
        <v>7</v>
      </c>
      <c r="J70" s="39">
        <v>0.125</v>
      </c>
      <c r="K70" s="38">
        <f t="shared" si="10"/>
        <v>11.125</v>
      </c>
      <c r="L70" s="94"/>
    </row>
    <row r="71" spans="4:12" x14ac:dyDescent="0.25">
      <c r="D71" s="131"/>
      <c r="E71" s="25" t="s">
        <v>33</v>
      </c>
      <c r="F71" s="26">
        <v>0</v>
      </c>
      <c r="G71" s="26">
        <v>3</v>
      </c>
      <c r="H71" s="26">
        <v>10</v>
      </c>
      <c r="I71" s="26">
        <v>6</v>
      </c>
      <c r="J71" s="39">
        <v>0.216</v>
      </c>
      <c r="K71" s="38">
        <f t="shared" si="10"/>
        <v>19.216000000000001</v>
      </c>
      <c r="L71" s="94"/>
    </row>
    <row r="72" spans="4:12" x14ac:dyDescent="0.25">
      <c r="D72" s="131"/>
      <c r="E72" s="25" t="s">
        <v>34</v>
      </c>
      <c r="F72" s="26">
        <v>0</v>
      </c>
      <c r="G72" s="26">
        <v>4</v>
      </c>
      <c r="H72" s="26">
        <v>10</v>
      </c>
      <c r="I72" s="26">
        <v>20</v>
      </c>
      <c r="J72" s="39">
        <v>0.38600000000000001</v>
      </c>
      <c r="K72" s="38">
        <f t="shared" si="10"/>
        <v>34.386000000000003</v>
      </c>
      <c r="L72" s="94"/>
    </row>
    <row r="73" spans="4:12" x14ac:dyDescent="0.25">
      <c r="D73" s="131"/>
      <c r="E73" s="25" t="s">
        <v>35</v>
      </c>
      <c r="F73" s="26">
        <v>0</v>
      </c>
      <c r="G73" s="26">
        <v>0</v>
      </c>
      <c r="H73" s="26">
        <v>2</v>
      </c>
      <c r="I73" s="26">
        <v>3</v>
      </c>
      <c r="J73" s="39">
        <v>5.7000000000000002E-2</v>
      </c>
      <c r="K73" s="38">
        <f t="shared" si="10"/>
        <v>5.0570000000000004</v>
      </c>
      <c r="L73" s="94"/>
    </row>
    <row r="74" spans="4:12" ht="15.75" thickBot="1" x14ac:dyDescent="0.3">
      <c r="D74" s="124" t="s">
        <v>7</v>
      </c>
      <c r="E74" s="125"/>
      <c r="F74" s="30">
        <f>SUM(F68:F73)</f>
        <v>4</v>
      </c>
      <c r="G74" s="30">
        <f t="shared" ref="G74:K74" si="11">SUM(G68:G73)</f>
        <v>14</v>
      </c>
      <c r="H74" s="30">
        <f t="shared" si="11"/>
        <v>27</v>
      </c>
      <c r="I74" s="30">
        <f t="shared" si="11"/>
        <v>43</v>
      </c>
      <c r="J74" s="99">
        <f t="shared" si="11"/>
        <v>1</v>
      </c>
      <c r="K74" s="30">
        <f t="shared" si="11"/>
        <v>89.000000000000014</v>
      </c>
    </row>
    <row r="77" spans="4:12" ht="15.75" thickBot="1" x14ac:dyDescent="0.3">
      <c r="D77" s="121" t="s">
        <v>188</v>
      </c>
      <c r="E77" s="121"/>
      <c r="F77" s="121"/>
      <c r="G77" s="121"/>
      <c r="H77" s="121"/>
      <c r="I77" s="121"/>
      <c r="J77" s="121"/>
      <c r="K77" s="121"/>
    </row>
    <row r="78" spans="4:12" x14ac:dyDescent="0.25">
      <c r="D78" s="122" t="s">
        <v>0</v>
      </c>
      <c r="E78" s="123"/>
      <c r="F78" s="123" t="s">
        <v>169</v>
      </c>
      <c r="G78" s="123"/>
      <c r="H78" s="123"/>
      <c r="I78" s="123"/>
      <c r="J78" s="146" t="s">
        <v>59</v>
      </c>
      <c r="K78" s="126" t="s">
        <v>7</v>
      </c>
    </row>
    <row r="79" spans="4:12" ht="24.75" thickBot="1" x14ac:dyDescent="0.3">
      <c r="D79" s="124"/>
      <c r="E79" s="125"/>
      <c r="F79" s="93" t="s">
        <v>47</v>
      </c>
      <c r="G79" s="93" t="s">
        <v>4</v>
      </c>
      <c r="H79" s="93" t="s">
        <v>5</v>
      </c>
      <c r="I79" s="93" t="s">
        <v>6</v>
      </c>
      <c r="J79" s="147"/>
      <c r="K79" s="127"/>
    </row>
    <row r="80" spans="4:12" x14ac:dyDescent="0.25">
      <c r="D80" s="130" t="s">
        <v>189</v>
      </c>
      <c r="E80" s="29"/>
      <c r="F80" s="34">
        <v>4</v>
      </c>
      <c r="G80" s="34">
        <v>0</v>
      </c>
      <c r="H80" s="34">
        <v>0</v>
      </c>
      <c r="I80" s="34">
        <v>0</v>
      </c>
      <c r="J80" s="37">
        <v>4.4999999999999998E-2</v>
      </c>
      <c r="K80" s="38">
        <f t="shared" ref="K80:K85" si="12">SUM(F80:J80)</f>
        <v>4.0449999999999999</v>
      </c>
      <c r="L80" s="94"/>
    </row>
    <row r="81" spans="4:12" x14ac:dyDescent="0.25">
      <c r="D81" s="131"/>
      <c r="E81" s="25" t="s">
        <v>31</v>
      </c>
      <c r="F81" s="26">
        <v>0</v>
      </c>
      <c r="G81" s="26">
        <v>3</v>
      </c>
      <c r="H81" s="26">
        <v>1</v>
      </c>
      <c r="I81" s="26">
        <v>4</v>
      </c>
      <c r="J81" s="39">
        <v>9.0999999999999998E-2</v>
      </c>
      <c r="K81" s="38">
        <f t="shared" si="12"/>
        <v>8.0909999999999993</v>
      </c>
      <c r="L81" s="94"/>
    </row>
    <row r="82" spans="4:12" x14ac:dyDescent="0.25">
      <c r="D82" s="131"/>
      <c r="E82" s="25" t="s">
        <v>32</v>
      </c>
      <c r="F82" s="26">
        <v>0</v>
      </c>
      <c r="G82" s="26">
        <v>2</v>
      </c>
      <c r="H82" s="26">
        <v>1</v>
      </c>
      <c r="I82" s="26">
        <v>8</v>
      </c>
      <c r="J82" s="39">
        <v>0.125</v>
      </c>
      <c r="K82" s="38">
        <f t="shared" si="12"/>
        <v>11.125</v>
      </c>
      <c r="L82" s="94"/>
    </row>
    <row r="83" spans="4:12" x14ac:dyDescent="0.25">
      <c r="D83" s="131"/>
      <c r="E83" s="25" t="s">
        <v>33</v>
      </c>
      <c r="F83" s="26">
        <v>0</v>
      </c>
      <c r="G83" s="26">
        <v>3</v>
      </c>
      <c r="H83" s="26">
        <v>9</v>
      </c>
      <c r="I83" s="26">
        <v>2</v>
      </c>
      <c r="J83" s="39">
        <v>0.159</v>
      </c>
      <c r="K83" s="38">
        <f t="shared" si="12"/>
        <v>14.159000000000001</v>
      </c>
      <c r="L83" s="94"/>
    </row>
    <row r="84" spans="4:12" x14ac:dyDescent="0.25">
      <c r="D84" s="131"/>
      <c r="E84" s="25" t="s">
        <v>34</v>
      </c>
      <c r="F84" s="26">
        <v>0</v>
      </c>
      <c r="G84" s="26">
        <v>6</v>
      </c>
      <c r="H84" s="26">
        <v>16</v>
      </c>
      <c r="I84" s="26">
        <v>23</v>
      </c>
      <c r="J84" s="39">
        <v>0.51200000000000001</v>
      </c>
      <c r="K84" s="38">
        <f t="shared" si="12"/>
        <v>45.512</v>
      </c>
      <c r="L84" s="94"/>
    </row>
    <row r="85" spans="4:12" x14ac:dyDescent="0.25">
      <c r="D85" s="131"/>
      <c r="E85" s="25" t="s">
        <v>35</v>
      </c>
      <c r="F85" s="26">
        <v>0</v>
      </c>
      <c r="G85" s="26">
        <v>0</v>
      </c>
      <c r="H85" s="26">
        <v>0</v>
      </c>
      <c r="I85" s="26">
        <v>6</v>
      </c>
      <c r="J85" s="39">
        <v>6.8000000000000005E-2</v>
      </c>
      <c r="K85" s="38">
        <f t="shared" si="12"/>
        <v>6.0679999999999996</v>
      </c>
      <c r="L85" s="94"/>
    </row>
    <row r="86" spans="4:12" ht="15.75" thickBot="1" x14ac:dyDescent="0.3">
      <c r="D86" s="124" t="s">
        <v>7</v>
      </c>
      <c r="E86" s="125"/>
      <c r="F86" s="30">
        <f>SUM(F80:F85)</f>
        <v>4</v>
      </c>
      <c r="G86" s="30">
        <f t="shared" ref="G86:K86" si="13">SUM(G80:G85)</f>
        <v>14</v>
      </c>
      <c r="H86" s="30">
        <f t="shared" si="13"/>
        <v>27</v>
      </c>
      <c r="I86" s="30">
        <f t="shared" si="13"/>
        <v>43</v>
      </c>
      <c r="J86" s="99">
        <f t="shared" si="13"/>
        <v>1</v>
      </c>
      <c r="K86" s="30">
        <f t="shared" si="13"/>
        <v>89</v>
      </c>
    </row>
    <row r="89" spans="4:12" ht="27" customHeight="1" thickBot="1" x14ac:dyDescent="0.3">
      <c r="D89" s="121" t="s">
        <v>190</v>
      </c>
      <c r="E89" s="121"/>
      <c r="F89" s="121"/>
      <c r="G89" s="121"/>
      <c r="H89" s="121"/>
      <c r="I89" s="121"/>
      <c r="J89" s="121"/>
      <c r="K89" s="121"/>
    </row>
    <row r="90" spans="4:12" ht="17.25" customHeight="1" x14ac:dyDescent="0.25">
      <c r="D90" s="122" t="s">
        <v>0</v>
      </c>
      <c r="E90" s="123"/>
      <c r="F90" s="123" t="s">
        <v>169</v>
      </c>
      <c r="G90" s="123"/>
      <c r="H90" s="123"/>
      <c r="I90" s="123"/>
      <c r="J90" s="146" t="s">
        <v>59</v>
      </c>
      <c r="K90" s="126" t="s">
        <v>7</v>
      </c>
    </row>
    <row r="91" spans="4:12" ht="24.75" thickBot="1" x14ac:dyDescent="0.3">
      <c r="D91" s="124"/>
      <c r="E91" s="125"/>
      <c r="F91" s="93" t="s">
        <v>47</v>
      </c>
      <c r="G91" s="93" t="s">
        <v>4</v>
      </c>
      <c r="H91" s="93" t="s">
        <v>5</v>
      </c>
      <c r="I91" s="93" t="s">
        <v>6</v>
      </c>
      <c r="J91" s="147"/>
      <c r="K91" s="127"/>
    </row>
    <row r="92" spans="4:12" x14ac:dyDescent="0.25">
      <c r="D92" s="130" t="s">
        <v>82</v>
      </c>
      <c r="E92" s="29"/>
      <c r="F92" s="34">
        <v>4</v>
      </c>
      <c r="G92" s="34">
        <v>0</v>
      </c>
      <c r="H92" s="34">
        <v>0</v>
      </c>
      <c r="I92" s="34">
        <v>0</v>
      </c>
      <c r="J92" s="37">
        <v>4.4999999999999998E-2</v>
      </c>
      <c r="K92" s="38">
        <f t="shared" ref="K92:K97" si="14">SUM(F92:J92)</f>
        <v>4.0449999999999999</v>
      </c>
      <c r="L92" s="94"/>
    </row>
    <row r="93" spans="4:12" x14ac:dyDescent="0.25">
      <c r="D93" s="131"/>
      <c r="E93" s="25" t="s">
        <v>31</v>
      </c>
      <c r="F93" s="26">
        <v>0</v>
      </c>
      <c r="G93" s="26">
        <v>5</v>
      </c>
      <c r="H93" s="26">
        <v>2</v>
      </c>
      <c r="I93" s="26">
        <v>1</v>
      </c>
      <c r="J93" s="39">
        <v>9.0999999999999998E-2</v>
      </c>
      <c r="K93" s="38">
        <f t="shared" si="14"/>
        <v>8.0909999999999993</v>
      </c>
      <c r="L93" s="94"/>
    </row>
    <row r="94" spans="4:12" x14ac:dyDescent="0.25">
      <c r="D94" s="131"/>
      <c r="E94" s="25" t="s">
        <v>32</v>
      </c>
      <c r="F94" s="26">
        <v>0</v>
      </c>
      <c r="G94" s="26">
        <v>2</v>
      </c>
      <c r="H94" s="26">
        <v>2</v>
      </c>
      <c r="I94" s="26">
        <v>10</v>
      </c>
      <c r="J94" s="39">
        <v>0.159</v>
      </c>
      <c r="K94" s="38">
        <f t="shared" si="14"/>
        <v>14.159000000000001</v>
      </c>
      <c r="L94" s="94"/>
    </row>
    <row r="95" spans="4:12" x14ac:dyDescent="0.25">
      <c r="D95" s="131"/>
      <c r="E95" s="25" t="s">
        <v>33</v>
      </c>
      <c r="F95" s="26">
        <v>0</v>
      </c>
      <c r="G95" s="26">
        <v>3</v>
      </c>
      <c r="H95" s="26">
        <v>8</v>
      </c>
      <c r="I95" s="26">
        <v>6</v>
      </c>
      <c r="J95" s="39">
        <v>0.193</v>
      </c>
      <c r="K95" s="38">
        <f t="shared" si="14"/>
        <v>17.193000000000001</v>
      </c>
      <c r="L95" s="94"/>
    </row>
    <row r="96" spans="4:12" x14ac:dyDescent="0.25">
      <c r="D96" s="131"/>
      <c r="E96" s="25" t="s">
        <v>34</v>
      </c>
      <c r="F96" s="26">
        <v>0</v>
      </c>
      <c r="G96" s="26">
        <v>4</v>
      </c>
      <c r="H96" s="26">
        <v>14</v>
      </c>
      <c r="I96" s="26">
        <v>20</v>
      </c>
      <c r="J96" s="39">
        <v>0.432</v>
      </c>
      <c r="K96" s="38">
        <f t="shared" si="14"/>
        <v>38.432000000000002</v>
      </c>
      <c r="L96" s="94"/>
    </row>
    <row r="97" spans="4:12" x14ac:dyDescent="0.25">
      <c r="D97" s="131"/>
      <c r="E97" s="25" t="s">
        <v>35</v>
      </c>
      <c r="F97" s="26">
        <v>0</v>
      </c>
      <c r="G97" s="26">
        <v>0</v>
      </c>
      <c r="H97" s="26">
        <v>1</v>
      </c>
      <c r="I97" s="26">
        <v>6</v>
      </c>
      <c r="J97" s="39">
        <v>0.08</v>
      </c>
      <c r="K97" s="38">
        <f t="shared" si="14"/>
        <v>7.08</v>
      </c>
      <c r="L97" s="94"/>
    </row>
    <row r="98" spans="4:12" ht="15.75" thickBot="1" x14ac:dyDescent="0.3">
      <c r="D98" s="124" t="s">
        <v>7</v>
      </c>
      <c r="E98" s="125"/>
      <c r="F98" s="30">
        <f>SUM(F92:F97)</f>
        <v>4</v>
      </c>
      <c r="G98" s="30">
        <f t="shared" ref="G98:K98" si="15">SUM(G92:G97)</f>
        <v>14</v>
      </c>
      <c r="H98" s="30">
        <f t="shared" si="15"/>
        <v>27</v>
      </c>
      <c r="I98" s="30">
        <f t="shared" si="15"/>
        <v>43</v>
      </c>
      <c r="J98" s="99">
        <f t="shared" si="15"/>
        <v>1</v>
      </c>
      <c r="K98" s="30">
        <f t="shared" si="15"/>
        <v>89</v>
      </c>
    </row>
    <row r="101" spans="4:12" ht="27.75" customHeight="1" thickBot="1" x14ac:dyDescent="0.3">
      <c r="D101" s="121" t="s">
        <v>191</v>
      </c>
      <c r="E101" s="121"/>
      <c r="F101" s="121"/>
      <c r="G101" s="121"/>
      <c r="H101" s="121"/>
      <c r="I101" s="121"/>
      <c r="J101" s="121"/>
      <c r="K101" s="121"/>
    </row>
    <row r="102" spans="4:12" x14ac:dyDescent="0.25">
      <c r="D102" s="122" t="s">
        <v>0</v>
      </c>
      <c r="E102" s="123"/>
      <c r="F102" s="123" t="s">
        <v>169</v>
      </c>
      <c r="G102" s="123"/>
      <c r="H102" s="123"/>
      <c r="I102" s="123"/>
      <c r="J102" s="146" t="s">
        <v>59</v>
      </c>
      <c r="K102" s="126" t="s">
        <v>7</v>
      </c>
    </row>
    <row r="103" spans="4:12" ht="24.75" thickBot="1" x14ac:dyDescent="0.3">
      <c r="D103" s="124"/>
      <c r="E103" s="125"/>
      <c r="F103" s="93" t="s">
        <v>47</v>
      </c>
      <c r="G103" s="93" t="s">
        <v>4</v>
      </c>
      <c r="H103" s="93" t="s">
        <v>5</v>
      </c>
      <c r="I103" s="93" t="s">
        <v>6</v>
      </c>
      <c r="J103" s="147"/>
      <c r="K103" s="127"/>
    </row>
    <row r="104" spans="4:12" x14ac:dyDescent="0.25">
      <c r="D104" s="130" t="s">
        <v>83</v>
      </c>
      <c r="E104" s="29"/>
      <c r="F104" s="34">
        <v>4</v>
      </c>
      <c r="G104" s="34">
        <v>0</v>
      </c>
      <c r="H104" s="34">
        <v>0</v>
      </c>
      <c r="I104" s="34">
        <v>0</v>
      </c>
      <c r="J104" s="37">
        <v>4.4999999999999998E-2</v>
      </c>
      <c r="K104" s="38">
        <f t="shared" ref="K104:K109" si="16">SUM(F104:J104)</f>
        <v>4.0449999999999999</v>
      </c>
      <c r="L104" s="94"/>
    </row>
    <row r="105" spans="4:12" x14ac:dyDescent="0.25">
      <c r="D105" s="131"/>
      <c r="E105" s="25" t="s">
        <v>31</v>
      </c>
      <c r="F105" s="26">
        <v>0</v>
      </c>
      <c r="G105" s="26">
        <v>9</v>
      </c>
      <c r="H105" s="26">
        <v>14</v>
      </c>
      <c r="I105" s="26">
        <v>10</v>
      </c>
      <c r="J105" s="39">
        <v>0.375</v>
      </c>
      <c r="K105" s="38">
        <f t="shared" si="16"/>
        <v>33.375</v>
      </c>
      <c r="L105" s="94"/>
    </row>
    <row r="106" spans="4:12" x14ac:dyDescent="0.25">
      <c r="D106" s="131"/>
      <c r="E106" s="25" t="s">
        <v>32</v>
      </c>
      <c r="F106" s="26">
        <v>0</v>
      </c>
      <c r="G106" s="26">
        <v>1</v>
      </c>
      <c r="H106" s="26">
        <v>8</v>
      </c>
      <c r="I106" s="26">
        <v>22</v>
      </c>
      <c r="J106" s="39">
        <v>0.35199999999999998</v>
      </c>
      <c r="K106" s="38">
        <f t="shared" si="16"/>
        <v>31.352</v>
      </c>
      <c r="L106" s="94"/>
    </row>
    <row r="107" spans="4:12" x14ac:dyDescent="0.25">
      <c r="D107" s="131"/>
      <c r="E107" s="25" t="s">
        <v>33</v>
      </c>
      <c r="F107" s="26">
        <v>0</v>
      </c>
      <c r="G107" s="26">
        <v>1</v>
      </c>
      <c r="H107" s="26">
        <v>4</v>
      </c>
      <c r="I107" s="26">
        <v>1</v>
      </c>
      <c r="J107" s="39">
        <v>6.8000000000000005E-2</v>
      </c>
      <c r="K107" s="38">
        <f t="shared" si="16"/>
        <v>6.0679999999999996</v>
      </c>
      <c r="L107" s="94"/>
    </row>
    <row r="108" spans="4:12" x14ac:dyDescent="0.25">
      <c r="D108" s="131"/>
      <c r="E108" s="25" t="s">
        <v>34</v>
      </c>
      <c r="F108" s="26">
        <v>0</v>
      </c>
      <c r="G108" s="26">
        <v>2</v>
      </c>
      <c r="H108" s="26">
        <v>1</v>
      </c>
      <c r="I108" s="26">
        <v>6</v>
      </c>
      <c r="J108" s="39">
        <v>0.10299999999999999</v>
      </c>
      <c r="K108" s="38">
        <f t="shared" si="16"/>
        <v>9.1029999999999998</v>
      </c>
      <c r="L108" s="94"/>
    </row>
    <row r="109" spans="4:12" x14ac:dyDescent="0.25">
      <c r="D109" s="131"/>
      <c r="E109" s="25" t="s">
        <v>35</v>
      </c>
      <c r="F109" s="26">
        <v>0</v>
      </c>
      <c r="G109" s="26">
        <v>1</v>
      </c>
      <c r="H109" s="26">
        <v>0</v>
      </c>
      <c r="I109" s="26">
        <v>4</v>
      </c>
      <c r="J109" s="39">
        <v>5.7000000000000002E-2</v>
      </c>
      <c r="K109" s="38">
        <f t="shared" si="16"/>
        <v>5.0570000000000004</v>
      </c>
      <c r="L109" s="94"/>
    </row>
    <row r="110" spans="4:12" ht="15.75" thickBot="1" x14ac:dyDescent="0.3">
      <c r="D110" s="124" t="s">
        <v>7</v>
      </c>
      <c r="E110" s="125"/>
      <c r="F110" s="30">
        <f>SUM(F104:F109)</f>
        <v>4</v>
      </c>
      <c r="G110" s="30">
        <f t="shared" ref="G110:K110" si="17">SUM(G104:G109)</f>
        <v>14</v>
      </c>
      <c r="H110" s="30">
        <f t="shared" si="17"/>
        <v>27</v>
      </c>
      <c r="I110" s="30">
        <f t="shared" si="17"/>
        <v>43</v>
      </c>
      <c r="J110" s="99">
        <f t="shared" si="17"/>
        <v>1</v>
      </c>
      <c r="K110" s="30">
        <f t="shared" si="17"/>
        <v>89</v>
      </c>
    </row>
    <row r="113" spans="4:12" ht="29.25" customHeight="1" thickBot="1" x14ac:dyDescent="0.3">
      <c r="D113" s="121" t="s">
        <v>192</v>
      </c>
      <c r="E113" s="121"/>
      <c r="F113" s="121"/>
      <c r="G113" s="121"/>
      <c r="H113" s="121"/>
      <c r="I113" s="121"/>
      <c r="J113" s="121"/>
      <c r="K113" s="121"/>
    </row>
    <row r="114" spans="4:12" x14ac:dyDescent="0.25">
      <c r="D114" s="122" t="s">
        <v>0</v>
      </c>
      <c r="E114" s="123"/>
      <c r="F114" s="123" t="s">
        <v>169</v>
      </c>
      <c r="G114" s="123"/>
      <c r="H114" s="123"/>
      <c r="I114" s="123"/>
      <c r="J114" s="146" t="s">
        <v>59</v>
      </c>
      <c r="K114" s="126" t="s">
        <v>7</v>
      </c>
    </row>
    <row r="115" spans="4:12" ht="24.75" thickBot="1" x14ac:dyDescent="0.3">
      <c r="D115" s="124"/>
      <c r="E115" s="125"/>
      <c r="F115" s="93" t="s">
        <v>47</v>
      </c>
      <c r="G115" s="93" t="s">
        <v>4</v>
      </c>
      <c r="H115" s="93" t="s">
        <v>5</v>
      </c>
      <c r="I115" s="93" t="s">
        <v>6</v>
      </c>
      <c r="J115" s="147"/>
      <c r="K115" s="127"/>
    </row>
    <row r="116" spans="4:12" x14ac:dyDescent="0.25">
      <c r="D116" s="130" t="s">
        <v>193</v>
      </c>
      <c r="E116" s="29"/>
      <c r="F116" s="34">
        <v>4</v>
      </c>
      <c r="G116" s="34">
        <v>0</v>
      </c>
      <c r="H116" s="34">
        <v>0</v>
      </c>
      <c r="I116" s="34">
        <v>0</v>
      </c>
      <c r="J116" s="37">
        <v>4.4999999999999998E-2</v>
      </c>
      <c r="K116" s="38">
        <f t="shared" ref="K116:K121" si="18">SUM(F116:J116)</f>
        <v>4.0449999999999999</v>
      </c>
      <c r="L116" s="94"/>
    </row>
    <row r="117" spans="4:12" x14ac:dyDescent="0.25">
      <c r="D117" s="131"/>
      <c r="E117" s="25" t="s">
        <v>31</v>
      </c>
      <c r="F117" s="26">
        <v>0</v>
      </c>
      <c r="G117" s="26">
        <v>8</v>
      </c>
      <c r="H117" s="26">
        <v>12</v>
      </c>
      <c r="I117" s="26">
        <v>9</v>
      </c>
      <c r="J117" s="39">
        <v>0.33</v>
      </c>
      <c r="K117" s="38">
        <f t="shared" si="18"/>
        <v>29.33</v>
      </c>
      <c r="L117" s="94"/>
    </row>
    <row r="118" spans="4:12" x14ac:dyDescent="0.25">
      <c r="D118" s="131"/>
      <c r="E118" s="25" t="s">
        <v>32</v>
      </c>
      <c r="F118" s="26">
        <v>0</v>
      </c>
      <c r="G118" s="26">
        <v>1</v>
      </c>
      <c r="H118" s="26">
        <v>11</v>
      </c>
      <c r="I118" s="26">
        <v>21</v>
      </c>
      <c r="J118" s="39">
        <v>0.374</v>
      </c>
      <c r="K118" s="38">
        <f t="shared" si="18"/>
        <v>33.374000000000002</v>
      </c>
      <c r="L118" s="94"/>
    </row>
    <row r="119" spans="4:12" x14ac:dyDescent="0.25">
      <c r="D119" s="131"/>
      <c r="E119" s="25" t="s">
        <v>33</v>
      </c>
      <c r="F119" s="26">
        <v>0</v>
      </c>
      <c r="G119" s="26">
        <v>3</v>
      </c>
      <c r="H119" s="26">
        <v>3</v>
      </c>
      <c r="I119" s="26">
        <v>1</v>
      </c>
      <c r="J119" s="39">
        <v>0.08</v>
      </c>
      <c r="K119" s="38">
        <f t="shared" si="18"/>
        <v>7.08</v>
      </c>
      <c r="L119" s="94"/>
    </row>
    <row r="120" spans="4:12" x14ac:dyDescent="0.25">
      <c r="D120" s="131"/>
      <c r="E120" s="25" t="s">
        <v>34</v>
      </c>
      <c r="F120" s="26">
        <v>0</v>
      </c>
      <c r="G120" s="26">
        <v>1</v>
      </c>
      <c r="H120" s="26">
        <v>0</v>
      </c>
      <c r="I120" s="26">
        <v>6</v>
      </c>
      <c r="J120" s="39">
        <v>0.08</v>
      </c>
      <c r="K120" s="38">
        <f t="shared" si="18"/>
        <v>7.08</v>
      </c>
      <c r="L120" s="94"/>
    </row>
    <row r="121" spans="4:12" x14ac:dyDescent="0.25">
      <c r="D121" s="131"/>
      <c r="E121" s="25" t="s">
        <v>35</v>
      </c>
      <c r="F121" s="26">
        <v>0</v>
      </c>
      <c r="G121" s="26">
        <v>1</v>
      </c>
      <c r="H121" s="26">
        <v>1</v>
      </c>
      <c r="I121" s="26">
        <v>6</v>
      </c>
      <c r="J121" s="39">
        <v>9.0999999999999998E-2</v>
      </c>
      <c r="K121" s="38">
        <f t="shared" si="18"/>
        <v>8.0909999999999993</v>
      </c>
      <c r="L121" s="94"/>
    </row>
    <row r="122" spans="4:12" ht="15.75" thickBot="1" x14ac:dyDescent="0.3">
      <c r="D122" s="124" t="s">
        <v>7</v>
      </c>
      <c r="E122" s="125"/>
      <c r="F122" s="30">
        <f>SUM(F116:F121)</f>
        <v>4</v>
      </c>
      <c r="G122" s="30">
        <f t="shared" ref="G122:K122" si="19">SUM(G116:G121)</f>
        <v>14</v>
      </c>
      <c r="H122" s="30">
        <f t="shared" si="19"/>
        <v>27</v>
      </c>
      <c r="I122" s="30">
        <f t="shared" si="19"/>
        <v>43</v>
      </c>
      <c r="J122" s="99">
        <f t="shared" si="19"/>
        <v>0.99999999999999989</v>
      </c>
      <c r="K122" s="30">
        <f t="shared" si="19"/>
        <v>88.999999999999986</v>
      </c>
    </row>
  </sheetData>
  <mergeCells count="71">
    <mergeCell ref="D116:D121"/>
    <mergeCell ref="D122:E122"/>
    <mergeCell ref="D2:N3"/>
    <mergeCell ref="D104:D109"/>
    <mergeCell ref="D110:E110"/>
    <mergeCell ref="D113:K113"/>
    <mergeCell ref="D114:E115"/>
    <mergeCell ref="F114:I114"/>
    <mergeCell ref="J114:J115"/>
    <mergeCell ref="K114:K115"/>
    <mergeCell ref="D92:D97"/>
    <mergeCell ref="D98:E98"/>
    <mergeCell ref="D101:K101"/>
    <mergeCell ref="D102:E103"/>
    <mergeCell ref="F102:I102"/>
    <mergeCell ref="J102:J103"/>
    <mergeCell ref="K102:K103"/>
    <mergeCell ref="D80:D85"/>
    <mergeCell ref="D86:E86"/>
    <mergeCell ref="D89:K89"/>
    <mergeCell ref="D90:E91"/>
    <mergeCell ref="F90:I90"/>
    <mergeCell ref="J90:J91"/>
    <mergeCell ref="K90:K91"/>
    <mergeCell ref="D68:D73"/>
    <mergeCell ref="D74:E74"/>
    <mergeCell ref="D77:K77"/>
    <mergeCell ref="D78:E79"/>
    <mergeCell ref="F78:I78"/>
    <mergeCell ref="J78:J79"/>
    <mergeCell ref="K78:K79"/>
    <mergeCell ref="D56:D61"/>
    <mergeCell ref="D62:E62"/>
    <mergeCell ref="D65:K65"/>
    <mergeCell ref="D66:E67"/>
    <mergeCell ref="F66:I66"/>
    <mergeCell ref="J66:J67"/>
    <mergeCell ref="K66:K67"/>
    <mergeCell ref="D44:D49"/>
    <mergeCell ref="D50:E50"/>
    <mergeCell ref="D53:K53"/>
    <mergeCell ref="D54:E55"/>
    <mergeCell ref="F54:I54"/>
    <mergeCell ref="J54:J55"/>
    <mergeCell ref="K54:K55"/>
    <mergeCell ref="D32:D37"/>
    <mergeCell ref="D38:E38"/>
    <mergeCell ref="D41:K41"/>
    <mergeCell ref="D42:E43"/>
    <mergeCell ref="F42:I42"/>
    <mergeCell ref="J42:J43"/>
    <mergeCell ref="K42:K43"/>
    <mergeCell ref="D20:D25"/>
    <mergeCell ref="D26:E26"/>
    <mergeCell ref="D29:K29"/>
    <mergeCell ref="D30:E31"/>
    <mergeCell ref="F30:I30"/>
    <mergeCell ref="J30:J31"/>
    <mergeCell ref="K30:K31"/>
    <mergeCell ref="D14:E14"/>
    <mergeCell ref="D17:K17"/>
    <mergeCell ref="D18:E19"/>
    <mergeCell ref="F18:I18"/>
    <mergeCell ref="J18:J19"/>
    <mergeCell ref="K18:K19"/>
    <mergeCell ref="D8:D13"/>
    <mergeCell ref="D5:K5"/>
    <mergeCell ref="D6:E7"/>
    <mergeCell ref="F6:I6"/>
    <mergeCell ref="J6:J7"/>
    <mergeCell ref="K6:K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zoomScale="90" zoomScaleNormal="90" workbookViewId="0">
      <selection activeCell="Q5" sqref="Q5"/>
    </sheetView>
  </sheetViews>
  <sheetFormatPr defaultColWidth="0" defaultRowHeight="15" zeroHeight="1" x14ac:dyDescent="0.25"/>
  <cols>
    <col min="1" max="1" width="3.7109375" customWidth="1"/>
    <col min="2" max="2" width="25.42578125" customWidth="1"/>
    <col min="3" max="3" width="17" customWidth="1"/>
    <col min="4" max="4" width="16.5703125" customWidth="1"/>
    <col min="5" max="6" width="9.140625" customWidth="1"/>
    <col min="7" max="7" width="13.5703125" customWidth="1"/>
    <col min="8" max="17" width="9.140625" customWidth="1"/>
    <col min="18" max="16384" width="9.140625" hidden="1"/>
  </cols>
  <sheetData>
    <row r="1" spans="1:14" x14ac:dyDescent="0.25"/>
    <row r="2" spans="1:14" ht="20.25" x14ac:dyDescent="0.25">
      <c r="A2" s="148" t="s">
        <v>85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</row>
    <row r="3" spans="1:14" x14ac:dyDescent="0.25"/>
    <row r="4" spans="1:14" ht="28.5" customHeight="1" x14ac:dyDescent="0.25">
      <c r="B4" s="149" t="s">
        <v>101</v>
      </c>
      <c r="C4" s="149"/>
      <c r="D4" s="149"/>
      <c r="E4" s="149"/>
      <c r="F4" s="149"/>
      <c r="G4" s="149"/>
      <c r="H4" s="149"/>
      <c r="I4" s="53"/>
    </row>
    <row r="5" spans="1:14" x14ac:dyDescent="0.25">
      <c r="B5" s="150" t="s">
        <v>0</v>
      </c>
      <c r="C5" s="150"/>
      <c r="D5" s="150" t="s">
        <v>25</v>
      </c>
      <c r="E5" s="150"/>
      <c r="F5" s="150"/>
      <c r="G5" s="150" t="s">
        <v>86</v>
      </c>
      <c r="H5" s="150" t="s">
        <v>7</v>
      </c>
      <c r="I5" s="53"/>
    </row>
    <row r="6" spans="1:14" x14ac:dyDescent="0.25">
      <c r="B6" s="150"/>
      <c r="C6" s="150"/>
      <c r="D6" s="54" t="s">
        <v>47</v>
      </c>
      <c r="E6" s="54" t="s">
        <v>8</v>
      </c>
      <c r="F6" s="54" t="s">
        <v>9</v>
      </c>
      <c r="G6" s="150"/>
      <c r="H6" s="150"/>
      <c r="I6" s="53"/>
    </row>
    <row r="7" spans="1:14" x14ac:dyDescent="0.25">
      <c r="B7" s="150" t="s">
        <v>102</v>
      </c>
      <c r="C7" s="54" t="s">
        <v>0</v>
      </c>
      <c r="D7" s="55">
        <v>4</v>
      </c>
      <c r="E7" s="55">
        <v>0</v>
      </c>
      <c r="F7" s="55">
        <v>0</v>
      </c>
      <c r="G7" s="56">
        <v>4.4999999999999998E-2</v>
      </c>
      <c r="H7" s="57">
        <v>4</v>
      </c>
      <c r="I7" s="53"/>
    </row>
    <row r="8" spans="1:14" x14ac:dyDescent="0.25">
      <c r="B8" s="150"/>
      <c r="C8" s="54" t="s">
        <v>31</v>
      </c>
      <c r="D8" s="55">
        <v>0</v>
      </c>
      <c r="E8" s="55">
        <v>7</v>
      </c>
      <c r="F8" s="55">
        <v>2</v>
      </c>
      <c r="G8" s="56">
        <v>0.10199999999999999</v>
      </c>
      <c r="H8" s="57">
        <v>9</v>
      </c>
      <c r="I8" s="53"/>
    </row>
    <row r="9" spans="1:14" x14ac:dyDescent="0.25">
      <c r="B9" s="150"/>
      <c r="C9" s="54" t="s">
        <v>32</v>
      </c>
      <c r="D9" s="55">
        <v>0</v>
      </c>
      <c r="E9" s="55">
        <v>18</v>
      </c>
      <c r="F9" s="55">
        <v>13</v>
      </c>
      <c r="G9" s="56">
        <v>0.35199999999999998</v>
      </c>
      <c r="H9" s="57">
        <v>31</v>
      </c>
      <c r="I9" s="53"/>
    </row>
    <row r="10" spans="1:14" x14ac:dyDescent="0.25">
      <c r="B10" s="150"/>
      <c r="C10" s="54" t="s">
        <v>33</v>
      </c>
      <c r="D10" s="55">
        <v>0</v>
      </c>
      <c r="E10" s="55">
        <v>10</v>
      </c>
      <c r="F10" s="55">
        <v>4</v>
      </c>
      <c r="G10" s="56">
        <v>0.159</v>
      </c>
      <c r="H10" s="57">
        <v>14</v>
      </c>
      <c r="I10" s="53"/>
    </row>
    <row r="11" spans="1:14" x14ac:dyDescent="0.25">
      <c r="B11" s="150"/>
      <c r="C11" s="54" t="s">
        <v>34</v>
      </c>
      <c r="D11" s="55">
        <v>0</v>
      </c>
      <c r="E11" s="55">
        <v>16</v>
      </c>
      <c r="F11" s="55">
        <v>7</v>
      </c>
      <c r="G11" s="56">
        <v>0.26100000000000001</v>
      </c>
      <c r="H11" s="57">
        <v>23</v>
      </c>
      <c r="I11" s="53"/>
    </row>
    <row r="12" spans="1:14" x14ac:dyDescent="0.25">
      <c r="B12" s="150"/>
      <c r="C12" s="54" t="s">
        <v>35</v>
      </c>
      <c r="D12" s="55">
        <v>0</v>
      </c>
      <c r="E12" s="55">
        <v>5</v>
      </c>
      <c r="F12" s="55">
        <v>2</v>
      </c>
      <c r="G12" s="56">
        <v>8.1000000000000003E-2</v>
      </c>
      <c r="H12" s="57">
        <v>7</v>
      </c>
      <c r="I12" s="53"/>
    </row>
    <row r="13" spans="1:14" x14ac:dyDescent="0.25">
      <c r="B13" s="151" t="s">
        <v>7</v>
      </c>
      <c r="C13" s="151"/>
      <c r="D13" s="58">
        <v>4</v>
      </c>
      <c r="E13" s="58">
        <v>56</v>
      </c>
      <c r="F13" s="58">
        <v>28</v>
      </c>
      <c r="G13" s="59">
        <f>SUM(G7:G12)</f>
        <v>1</v>
      </c>
      <c r="H13" s="58">
        <v>88</v>
      </c>
      <c r="I13" s="53"/>
    </row>
    <row r="14" spans="1:14" x14ac:dyDescent="0.25">
      <c r="B14" s="53"/>
      <c r="C14" s="53"/>
      <c r="D14" s="53"/>
      <c r="E14" s="53"/>
      <c r="F14" s="53"/>
      <c r="G14" s="53"/>
      <c r="H14" s="53"/>
      <c r="I14" s="53"/>
    </row>
    <row r="15" spans="1:14" x14ac:dyDescent="0.25">
      <c r="B15" s="149" t="s">
        <v>99</v>
      </c>
      <c r="C15" s="149"/>
      <c r="D15" s="149"/>
      <c r="E15" s="149"/>
      <c r="F15" s="149"/>
      <c r="G15" s="149"/>
      <c r="H15" s="149"/>
      <c r="I15" s="53"/>
    </row>
    <row r="16" spans="1:14" x14ac:dyDescent="0.25">
      <c r="B16" s="150" t="s">
        <v>0</v>
      </c>
      <c r="C16" s="150"/>
      <c r="D16" s="150" t="s">
        <v>25</v>
      </c>
      <c r="E16" s="150"/>
      <c r="F16" s="150"/>
      <c r="G16" s="150" t="s">
        <v>86</v>
      </c>
      <c r="H16" s="150" t="s">
        <v>7</v>
      </c>
      <c r="I16" s="53"/>
    </row>
    <row r="17" spans="2:9" x14ac:dyDescent="0.25">
      <c r="B17" s="150"/>
      <c r="C17" s="150"/>
      <c r="D17" s="54" t="s">
        <v>47</v>
      </c>
      <c r="E17" s="54" t="s">
        <v>8</v>
      </c>
      <c r="F17" s="54" t="s">
        <v>9</v>
      </c>
      <c r="G17" s="150"/>
      <c r="H17" s="150"/>
      <c r="I17" s="53"/>
    </row>
    <row r="18" spans="2:9" x14ac:dyDescent="0.25">
      <c r="B18" s="150" t="s">
        <v>100</v>
      </c>
      <c r="C18" s="54" t="s">
        <v>0</v>
      </c>
      <c r="D18" s="55">
        <v>4</v>
      </c>
      <c r="E18" s="55">
        <v>0</v>
      </c>
      <c r="F18" s="55">
        <v>0</v>
      </c>
      <c r="G18" s="56">
        <v>4.4999999999999998E-2</v>
      </c>
      <c r="H18" s="57">
        <v>4</v>
      </c>
      <c r="I18" s="53"/>
    </row>
    <row r="19" spans="2:9" x14ac:dyDescent="0.25">
      <c r="B19" s="150"/>
      <c r="C19" s="54" t="s">
        <v>31</v>
      </c>
      <c r="D19" s="55">
        <v>0</v>
      </c>
      <c r="E19" s="55">
        <v>17</v>
      </c>
      <c r="F19" s="55">
        <v>4</v>
      </c>
      <c r="G19" s="56">
        <v>0.23899999999999999</v>
      </c>
      <c r="H19" s="57">
        <v>21</v>
      </c>
      <c r="I19" s="53"/>
    </row>
    <row r="20" spans="2:9" x14ac:dyDescent="0.25">
      <c r="B20" s="150"/>
      <c r="C20" s="54" t="s">
        <v>32</v>
      </c>
      <c r="D20" s="55">
        <v>0</v>
      </c>
      <c r="E20" s="55">
        <v>28</v>
      </c>
      <c r="F20" s="55">
        <v>19</v>
      </c>
      <c r="G20" s="56">
        <v>0.53400000000000003</v>
      </c>
      <c r="H20" s="57">
        <v>47</v>
      </c>
      <c r="I20" s="53"/>
    </row>
    <row r="21" spans="2:9" x14ac:dyDescent="0.25">
      <c r="B21" s="150"/>
      <c r="C21" s="54" t="s">
        <v>33</v>
      </c>
      <c r="D21" s="55">
        <v>0</v>
      </c>
      <c r="E21" s="55">
        <v>2</v>
      </c>
      <c r="F21" s="55">
        <v>1</v>
      </c>
      <c r="G21" s="56">
        <v>3.4000000000000002E-2</v>
      </c>
      <c r="H21" s="57">
        <v>3</v>
      </c>
      <c r="I21" s="53"/>
    </row>
    <row r="22" spans="2:9" x14ac:dyDescent="0.25">
      <c r="B22" s="150"/>
      <c r="C22" s="54" t="s">
        <v>34</v>
      </c>
      <c r="D22" s="55">
        <v>0</v>
      </c>
      <c r="E22" s="55">
        <v>2</v>
      </c>
      <c r="F22" s="55">
        <v>0</v>
      </c>
      <c r="G22" s="56">
        <v>2.3E-2</v>
      </c>
      <c r="H22" s="57">
        <v>2</v>
      </c>
      <c r="I22" s="53"/>
    </row>
    <row r="23" spans="2:9" x14ac:dyDescent="0.25">
      <c r="B23" s="150"/>
      <c r="C23" s="54" t="s">
        <v>35</v>
      </c>
      <c r="D23" s="55">
        <v>0</v>
      </c>
      <c r="E23" s="55">
        <v>7</v>
      </c>
      <c r="F23" s="55">
        <v>4</v>
      </c>
      <c r="G23" s="56">
        <v>0.125</v>
      </c>
      <c r="H23" s="57">
        <v>11</v>
      </c>
      <c r="I23" s="53"/>
    </row>
    <row r="24" spans="2:9" x14ac:dyDescent="0.25">
      <c r="B24" s="151" t="s">
        <v>7</v>
      </c>
      <c r="C24" s="151"/>
      <c r="D24" s="58">
        <v>4</v>
      </c>
      <c r="E24" s="58">
        <v>56</v>
      </c>
      <c r="F24" s="58">
        <v>28</v>
      </c>
      <c r="G24" s="59">
        <f>SUM(G18:G23)</f>
        <v>1</v>
      </c>
      <c r="H24" s="58">
        <v>88</v>
      </c>
      <c r="I24" s="53"/>
    </row>
    <row r="25" spans="2:9" x14ac:dyDescent="0.25">
      <c r="B25" s="53"/>
      <c r="C25" s="53"/>
      <c r="D25" s="53"/>
      <c r="E25" s="53"/>
      <c r="F25" s="53"/>
      <c r="G25" s="53"/>
      <c r="H25" s="53"/>
      <c r="I25" s="53"/>
    </row>
    <row r="26" spans="2:9" x14ac:dyDescent="0.25">
      <c r="B26" s="149" t="s">
        <v>97</v>
      </c>
      <c r="C26" s="149"/>
      <c r="D26" s="149"/>
      <c r="E26" s="149"/>
      <c r="F26" s="149"/>
      <c r="G26" s="149"/>
      <c r="H26" s="149"/>
      <c r="I26" s="53"/>
    </row>
    <row r="27" spans="2:9" x14ac:dyDescent="0.25">
      <c r="B27" s="150" t="s">
        <v>0</v>
      </c>
      <c r="C27" s="150"/>
      <c r="D27" s="150" t="s">
        <v>25</v>
      </c>
      <c r="E27" s="150"/>
      <c r="F27" s="150"/>
      <c r="G27" s="150" t="s">
        <v>86</v>
      </c>
      <c r="H27" s="150" t="s">
        <v>7</v>
      </c>
      <c r="I27" s="53"/>
    </row>
    <row r="28" spans="2:9" x14ac:dyDescent="0.25">
      <c r="B28" s="150"/>
      <c r="C28" s="150"/>
      <c r="D28" s="54" t="s">
        <v>47</v>
      </c>
      <c r="E28" s="54" t="s">
        <v>8</v>
      </c>
      <c r="F28" s="54" t="s">
        <v>9</v>
      </c>
      <c r="G28" s="150"/>
      <c r="H28" s="150"/>
      <c r="I28" s="53"/>
    </row>
    <row r="29" spans="2:9" x14ac:dyDescent="0.25">
      <c r="B29" s="150" t="s">
        <v>98</v>
      </c>
      <c r="C29" s="54" t="s">
        <v>0</v>
      </c>
      <c r="D29" s="55">
        <v>4</v>
      </c>
      <c r="E29" s="55">
        <v>0</v>
      </c>
      <c r="F29" s="55">
        <v>0</v>
      </c>
      <c r="G29" s="56">
        <v>4.4999999999999998E-2</v>
      </c>
      <c r="H29" s="57">
        <v>4</v>
      </c>
      <c r="I29" s="53"/>
    </row>
    <row r="30" spans="2:9" x14ac:dyDescent="0.25">
      <c r="B30" s="150"/>
      <c r="C30" s="54" t="s">
        <v>31</v>
      </c>
      <c r="D30" s="55">
        <v>0</v>
      </c>
      <c r="E30" s="55">
        <v>12</v>
      </c>
      <c r="F30" s="55">
        <v>1</v>
      </c>
      <c r="G30" s="56">
        <v>0.14799999999999999</v>
      </c>
      <c r="H30" s="57">
        <v>13</v>
      </c>
      <c r="I30" s="53"/>
    </row>
    <row r="31" spans="2:9" x14ac:dyDescent="0.25">
      <c r="B31" s="150"/>
      <c r="C31" s="54" t="s">
        <v>32</v>
      </c>
      <c r="D31" s="55">
        <v>0</v>
      </c>
      <c r="E31" s="55">
        <v>22</v>
      </c>
      <c r="F31" s="55">
        <v>19</v>
      </c>
      <c r="G31" s="56">
        <v>0.46600000000000003</v>
      </c>
      <c r="H31" s="57">
        <v>41</v>
      </c>
      <c r="I31" s="53"/>
    </row>
    <row r="32" spans="2:9" x14ac:dyDescent="0.25">
      <c r="B32" s="150"/>
      <c r="C32" s="54" t="s">
        <v>33</v>
      </c>
      <c r="D32" s="55">
        <v>0</v>
      </c>
      <c r="E32" s="55">
        <v>3</v>
      </c>
      <c r="F32" s="55">
        <v>1</v>
      </c>
      <c r="G32" s="56">
        <v>4.4999999999999998E-2</v>
      </c>
      <c r="H32" s="57">
        <v>4</v>
      </c>
      <c r="I32" s="53"/>
    </row>
    <row r="33" spans="2:9" ht="18.75" customHeight="1" x14ac:dyDescent="0.25">
      <c r="B33" s="150"/>
      <c r="C33" s="54" t="s">
        <v>34</v>
      </c>
      <c r="D33" s="55">
        <v>0</v>
      </c>
      <c r="E33" s="55">
        <v>3</v>
      </c>
      <c r="F33" s="55">
        <v>0</v>
      </c>
      <c r="G33" s="56">
        <v>3.4000000000000002E-2</v>
      </c>
      <c r="H33" s="57">
        <v>3</v>
      </c>
      <c r="I33" s="53"/>
    </row>
    <row r="34" spans="2:9" x14ac:dyDescent="0.25">
      <c r="B34" s="150"/>
      <c r="C34" s="54" t="s">
        <v>35</v>
      </c>
      <c r="D34" s="55">
        <v>0</v>
      </c>
      <c r="E34" s="55">
        <v>16</v>
      </c>
      <c r="F34" s="55">
        <v>7</v>
      </c>
      <c r="G34" s="56">
        <v>0.26200000000000001</v>
      </c>
      <c r="H34" s="57">
        <v>23</v>
      </c>
      <c r="I34" s="53"/>
    </row>
    <row r="35" spans="2:9" x14ac:dyDescent="0.25">
      <c r="B35" s="151" t="s">
        <v>7</v>
      </c>
      <c r="C35" s="151"/>
      <c r="D35" s="58">
        <v>4</v>
      </c>
      <c r="E35" s="58">
        <v>56</v>
      </c>
      <c r="F35" s="58">
        <v>28</v>
      </c>
      <c r="G35" s="59">
        <f>SUM(G29:G34)</f>
        <v>1</v>
      </c>
      <c r="H35" s="58">
        <v>88</v>
      </c>
      <c r="I35" s="53"/>
    </row>
    <row r="36" spans="2:9" x14ac:dyDescent="0.25">
      <c r="B36" s="53"/>
      <c r="C36" s="53"/>
      <c r="D36" s="53"/>
      <c r="E36" s="53"/>
      <c r="F36" s="53"/>
      <c r="G36" s="53"/>
      <c r="H36" s="53"/>
      <c r="I36" s="53"/>
    </row>
    <row r="37" spans="2:9" ht="32.25" customHeight="1" x14ac:dyDescent="0.25">
      <c r="B37" s="149" t="s">
        <v>95</v>
      </c>
      <c r="C37" s="149"/>
      <c r="D37" s="149"/>
      <c r="E37" s="149"/>
      <c r="F37" s="149"/>
      <c r="G37" s="149"/>
      <c r="H37" s="149"/>
      <c r="I37" s="53"/>
    </row>
    <row r="38" spans="2:9" x14ac:dyDescent="0.25">
      <c r="B38" s="150" t="s">
        <v>0</v>
      </c>
      <c r="C38" s="150"/>
      <c r="D38" s="150" t="s">
        <v>25</v>
      </c>
      <c r="E38" s="150"/>
      <c r="F38" s="150"/>
      <c r="G38" s="150" t="s">
        <v>86</v>
      </c>
      <c r="H38" s="150" t="s">
        <v>7</v>
      </c>
      <c r="I38" s="53"/>
    </row>
    <row r="39" spans="2:9" x14ac:dyDescent="0.25">
      <c r="B39" s="150"/>
      <c r="C39" s="150"/>
      <c r="D39" s="54" t="s">
        <v>47</v>
      </c>
      <c r="E39" s="54" t="s">
        <v>8</v>
      </c>
      <c r="F39" s="54" t="s">
        <v>9</v>
      </c>
      <c r="G39" s="150"/>
      <c r="H39" s="150"/>
      <c r="I39" s="53"/>
    </row>
    <row r="40" spans="2:9" x14ac:dyDescent="0.25">
      <c r="B40" s="150" t="s">
        <v>96</v>
      </c>
      <c r="C40" s="54" t="s">
        <v>0</v>
      </c>
      <c r="D40" s="55">
        <v>4</v>
      </c>
      <c r="E40" s="55">
        <v>0</v>
      </c>
      <c r="F40" s="55">
        <v>0</v>
      </c>
      <c r="G40" s="56">
        <v>4.4999999999999998E-2</v>
      </c>
      <c r="H40" s="57">
        <v>4</v>
      </c>
      <c r="I40" s="53"/>
    </row>
    <row r="41" spans="2:9" x14ac:dyDescent="0.25">
      <c r="B41" s="150"/>
      <c r="C41" s="54" t="s">
        <v>31</v>
      </c>
      <c r="D41" s="55">
        <v>0</v>
      </c>
      <c r="E41" s="55">
        <v>12</v>
      </c>
      <c r="F41" s="55">
        <v>3</v>
      </c>
      <c r="G41" s="56">
        <v>0.17100000000000001</v>
      </c>
      <c r="H41" s="57">
        <v>15</v>
      </c>
      <c r="I41" s="53"/>
    </row>
    <row r="42" spans="2:9" x14ac:dyDescent="0.25">
      <c r="B42" s="150"/>
      <c r="C42" s="54" t="s">
        <v>32</v>
      </c>
      <c r="D42" s="55">
        <v>0</v>
      </c>
      <c r="E42" s="55">
        <v>23</v>
      </c>
      <c r="F42" s="55">
        <v>19</v>
      </c>
      <c r="G42" s="56">
        <v>0.47699999999999998</v>
      </c>
      <c r="H42" s="57">
        <v>42</v>
      </c>
      <c r="I42" s="53"/>
    </row>
    <row r="43" spans="2:9" x14ac:dyDescent="0.25">
      <c r="B43" s="150"/>
      <c r="C43" s="54" t="s">
        <v>33</v>
      </c>
      <c r="D43" s="55">
        <v>0</v>
      </c>
      <c r="E43" s="55">
        <v>7</v>
      </c>
      <c r="F43" s="55">
        <v>1</v>
      </c>
      <c r="G43" s="56">
        <v>9.0999999999999998E-2</v>
      </c>
      <c r="H43" s="57">
        <v>8</v>
      </c>
      <c r="I43" s="53"/>
    </row>
    <row r="44" spans="2:9" x14ac:dyDescent="0.25">
      <c r="B44" s="150"/>
      <c r="C44" s="54" t="s">
        <v>34</v>
      </c>
      <c r="D44" s="55">
        <v>0</v>
      </c>
      <c r="E44" s="55">
        <v>5</v>
      </c>
      <c r="F44" s="55">
        <v>1</v>
      </c>
      <c r="G44" s="56">
        <v>6.8000000000000005E-2</v>
      </c>
      <c r="H44" s="57">
        <v>6</v>
      </c>
      <c r="I44" s="53"/>
    </row>
    <row r="45" spans="2:9" x14ac:dyDescent="0.25">
      <c r="B45" s="150"/>
      <c r="C45" s="54" t="s">
        <v>35</v>
      </c>
      <c r="D45" s="55">
        <v>0</v>
      </c>
      <c r="E45" s="55">
        <v>9</v>
      </c>
      <c r="F45" s="55">
        <v>4</v>
      </c>
      <c r="G45" s="56">
        <v>0.14799999999999999</v>
      </c>
      <c r="H45" s="57">
        <v>13</v>
      </c>
      <c r="I45" s="53"/>
    </row>
    <row r="46" spans="2:9" x14ac:dyDescent="0.25">
      <c r="B46" s="151" t="s">
        <v>7</v>
      </c>
      <c r="C46" s="151"/>
      <c r="D46" s="58">
        <v>4</v>
      </c>
      <c r="E46" s="58">
        <v>56</v>
      </c>
      <c r="F46" s="58">
        <v>28</v>
      </c>
      <c r="G46" s="59">
        <f>SUM(G40:G45)</f>
        <v>1</v>
      </c>
      <c r="H46" s="58">
        <v>88</v>
      </c>
      <c r="I46" s="53"/>
    </row>
    <row r="47" spans="2:9" x14ac:dyDescent="0.25">
      <c r="B47" s="53"/>
      <c r="C47" s="53"/>
      <c r="D47" s="53"/>
      <c r="E47" s="53"/>
      <c r="F47" s="53"/>
      <c r="G47" s="53"/>
      <c r="H47" s="53"/>
      <c r="I47" s="53"/>
    </row>
    <row r="48" spans="2:9" ht="25.5" customHeight="1" x14ac:dyDescent="0.25">
      <c r="B48" s="149" t="s">
        <v>93</v>
      </c>
      <c r="C48" s="149"/>
      <c r="D48" s="149"/>
      <c r="E48" s="149"/>
      <c r="F48" s="149"/>
      <c r="G48" s="149"/>
      <c r="H48" s="149"/>
      <c r="I48" s="53"/>
    </row>
    <row r="49" spans="2:9" x14ac:dyDescent="0.25">
      <c r="B49" s="150" t="s">
        <v>0</v>
      </c>
      <c r="C49" s="150"/>
      <c r="D49" s="150" t="s">
        <v>25</v>
      </c>
      <c r="E49" s="150"/>
      <c r="F49" s="150"/>
      <c r="G49" s="150" t="s">
        <v>86</v>
      </c>
      <c r="H49" s="150" t="s">
        <v>7</v>
      </c>
      <c r="I49" s="53"/>
    </row>
    <row r="50" spans="2:9" x14ac:dyDescent="0.25">
      <c r="B50" s="150"/>
      <c r="C50" s="150"/>
      <c r="D50" s="54" t="s">
        <v>47</v>
      </c>
      <c r="E50" s="54" t="s">
        <v>8</v>
      </c>
      <c r="F50" s="54" t="s">
        <v>9</v>
      </c>
      <c r="G50" s="150"/>
      <c r="H50" s="150"/>
      <c r="I50" s="53"/>
    </row>
    <row r="51" spans="2:9" x14ac:dyDescent="0.25">
      <c r="B51" s="150" t="s">
        <v>94</v>
      </c>
      <c r="C51" s="54" t="s">
        <v>0</v>
      </c>
      <c r="D51" s="55">
        <v>4</v>
      </c>
      <c r="E51" s="55">
        <v>0</v>
      </c>
      <c r="F51" s="55">
        <v>0</v>
      </c>
      <c r="G51" s="56">
        <v>4.4999999999999998E-2</v>
      </c>
      <c r="H51" s="57">
        <v>4</v>
      </c>
      <c r="I51" s="53"/>
    </row>
    <row r="52" spans="2:9" x14ac:dyDescent="0.25">
      <c r="B52" s="150"/>
      <c r="C52" s="54" t="s">
        <v>31</v>
      </c>
      <c r="D52" s="55">
        <v>0</v>
      </c>
      <c r="E52" s="55">
        <v>13</v>
      </c>
      <c r="F52" s="55">
        <v>5</v>
      </c>
      <c r="G52" s="56">
        <v>0.20499999999999999</v>
      </c>
      <c r="H52" s="57">
        <v>18</v>
      </c>
      <c r="I52" s="53"/>
    </row>
    <row r="53" spans="2:9" x14ac:dyDescent="0.25">
      <c r="B53" s="150"/>
      <c r="C53" s="54" t="s">
        <v>32</v>
      </c>
      <c r="D53" s="55">
        <v>0</v>
      </c>
      <c r="E53" s="55">
        <v>8</v>
      </c>
      <c r="F53" s="55">
        <v>8</v>
      </c>
      <c r="G53" s="56">
        <v>0.182</v>
      </c>
      <c r="H53" s="57">
        <v>16</v>
      </c>
      <c r="I53" s="53"/>
    </row>
    <row r="54" spans="2:9" x14ac:dyDescent="0.25">
      <c r="B54" s="150"/>
      <c r="C54" s="54" t="s">
        <v>33</v>
      </c>
      <c r="D54" s="55">
        <v>0</v>
      </c>
      <c r="E54" s="55">
        <v>4</v>
      </c>
      <c r="F54" s="55">
        <v>1</v>
      </c>
      <c r="G54" s="56">
        <v>5.7000000000000002E-2</v>
      </c>
      <c r="H54" s="57">
        <v>5</v>
      </c>
      <c r="I54" s="53"/>
    </row>
    <row r="55" spans="2:9" x14ac:dyDescent="0.25">
      <c r="B55" s="150"/>
      <c r="C55" s="54" t="s">
        <v>34</v>
      </c>
      <c r="D55" s="55">
        <v>0</v>
      </c>
      <c r="E55" s="55">
        <v>7</v>
      </c>
      <c r="F55" s="55">
        <v>4</v>
      </c>
      <c r="G55" s="56">
        <v>0.125</v>
      </c>
      <c r="H55" s="57">
        <v>11</v>
      </c>
      <c r="I55" s="53"/>
    </row>
    <row r="56" spans="2:9" x14ac:dyDescent="0.25">
      <c r="B56" s="150"/>
      <c r="C56" s="54" t="s">
        <v>35</v>
      </c>
      <c r="D56" s="55">
        <v>0</v>
      </c>
      <c r="E56" s="55">
        <v>24</v>
      </c>
      <c r="F56" s="55">
        <v>10</v>
      </c>
      <c r="G56" s="56">
        <v>0.38600000000000001</v>
      </c>
      <c r="H56" s="57">
        <v>34</v>
      </c>
      <c r="I56" s="53"/>
    </row>
    <row r="57" spans="2:9" x14ac:dyDescent="0.25">
      <c r="B57" s="151" t="s">
        <v>7</v>
      </c>
      <c r="C57" s="151"/>
      <c r="D57" s="58">
        <v>4</v>
      </c>
      <c r="E57" s="58">
        <v>56</v>
      </c>
      <c r="F57" s="58">
        <v>28</v>
      </c>
      <c r="G57" s="59">
        <f>SUM(G51:G56)</f>
        <v>1</v>
      </c>
      <c r="H57" s="58">
        <v>88</v>
      </c>
      <c r="I57" s="53"/>
    </row>
    <row r="58" spans="2:9" x14ac:dyDescent="0.25">
      <c r="B58" s="53"/>
      <c r="C58" s="53"/>
      <c r="D58" s="53"/>
      <c r="E58" s="53"/>
      <c r="F58" s="53"/>
      <c r="G58" s="53"/>
      <c r="H58" s="53"/>
      <c r="I58" s="53"/>
    </row>
    <row r="59" spans="2:9" x14ac:dyDescent="0.25">
      <c r="B59" s="149" t="s">
        <v>91</v>
      </c>
      <c r="C59" s="149"/>
      <c r="D59" s="149"/>
      <c r="E59" s="149"/>
      <c r="F59" s="149"/>
      <c r="G59" s="149"/>
      <c r="H59" s="149"/>
      <c r="I59" s="53"/>
    </row>
    <row r="60" spans="2:9" x14ac:dyDescent="0.25">
      <c r="B60" s="150" t="s">
        <v>0</v>
      </c>
      <c r="C60" s="150"/>
      <c r="D60" s="150" t="s">
        <v>25</v>
      </c>
      <c r="E60" s="150"/>
      <c r="F60" s="150"/>
      <c r="G60" s="150" t="s">
        <v>86</v>
      </c>
      <c r="H60" s="150" t="s">
        <v>7</v>
      </c>
      <c r="I60" s="53"/>
    </row>
    <row r="61" spans="2:9" x14ac:dyDescent="0.25">
      <c r="B61" s="150"/>
      <c r="C61" s="150"/>
      <c r="D61" s="54" t="s">
        <v>47</v>
      </c>
      <c r="E61" s="54" t="s">
        <v>8</v>
      </c>
      <c r="F61" s="54" t="s">
        <v>9</v>
      </c>
      <c r="G61" s="150"/>
      <c r="H61" s="150"/>
      <c r="I61" s="53"/>
    </row>
    <row r="62" spans="2:9" x14ac:dyDescent="0.25">
      <c r="B62" s="150" t="s">
        <v>92</v>
      </c>
      <c r="C62" s="54" t="s">
        <v>0</v>
      </c>
      <c r="D62" s="55">
        <v>4</v>
      </c>
      <c r="E62" s="55">
        <v>0</v>
      </c>
      <c r="F62" s="55">
        <v>0</v>
      </c>
      <c r="G62" s="56">
        <v>4.4999999999999998E-2</v>
      </c>
      <c r="H62" s="57">
        <v>4</v>
      </c>
      <c r="I62" s="53"/>
    </row>
    <row r="63" spans="2:9" x14ac:dyDescent="0.25">
      <c r="B63" s="150"/>
      <c r="C63" s="54" t="s">
        <v>31</v>
      </c>
      <c r="D63" s="55">
        <v>0</v>
      </c>
      <c r="E63" s="55">
        <v>6</v>
      </c>
      <c r="F63" s="55">
        <v>4</v>
      </c>
      <c r="G63" s="56">
        <v>0.114</v>
      </c>
      <c r="H63" s="57">
        <v>10</v>
      </c>
      <c r="I63" s="53"/>
    </row>
    <row r="64" spans="2:9" x14ac:dyDescent="0.25">
      <c r="B64" s="150"/>
      <c r="C64" s="54" t="s">
        <v>32</v>
      </c>
      <c r="D64" s="55">
        <v>0</v>
      </c>
      <c r="E64" s="55">
        <v>18</v>
      </c>
      <c r="F64" s="55">
        <v>7</v>
      </c>
      <c r="G64" s="56">
        <v>0.28399999999999997</v>
      </c>
      <c r="H64" s="57">
        <v>25</v>
      </c>
      <c r="I64" s="53"/>
    </row>
    <row r="65" spans="2:9" x14ac:dyDescent="0.25">
      <c r="B65" s="150"/>
      <c r="C65" s="54" t="s">
        <v>33</v>
      </c>
      <c r="D65" s="55">
        <v>0</v>
      </c>
      <c r="E65" s="55">
        <v>10</v>
      </c>
      <c r="F65" s="55">
        <v>4</v>
      </c>
      <c r="G65" s="56">
        <v>0.159</v>
      </c>
      <c r="H65" s="57">
        <v>14</v>
      </c>
      <c r="I65" s="53"/>
    </row>
    <row r="66" spans="2:9" x14ac:dyDescent="0.25">
      <c r="B66" s="150"/>
      <c r="C66" s="54" t="s">
        <v>34</v>
      </c>
      <c r="D66" s="55">
        <v>0</v>
      </c>
      <c r="E66" s="55">
        <v>4</v>
      </c>
      <c r="F66" s="55">
        <v>3</v>
      </c>
      <c r="G66" s="56">
        <v>0.08</v>
      </c>
      <c r="H66" s="57">
        <v>7</v>
      </c>
      <c r="I66" s="53"/>
    </row>
    <row r="67" spans="2:9" x14ac:dyDescent="0.25">
      <c r="B67" s="150"/>
      <c r="C67" s="54" t="s">
        <v>35</v>
      </c>
      <c r="D67" s="55">
        <v>0</v>
      </c>
      <c r="E67" s="55">
        <v>18</v>
      </c>
      <c r="F67" s="55">
        <v>10</v>
      </c>
      <c r="G67" s="56">
        <v>0.318</v>
      </c>
      <c r="H67" s="57">
        <v>28</v>
      </c>
      <c r="I67" s="53"/>
    </row>
    <row r="68" spans="2:9" x14ac:dyDescent="0.25">
      <c r="B68" s="151" t="s">
        <v>7</v>
      </c>
      <c r="C68" s="151"/>
      <c r="D68" s="58">
        <v>4</v>
      </c>
      <c r="E68" s="58">
        <v>56</v>
      </c>
      <c r="F68" s="58">
        <v>28</v>
      </c>
      <c r="G68" s="59">
        <f>SUM(G62:G67)</f>
        <v>1</v>
      </c>
      <c r="H68" s="58">
        <v>88</v>
      </c>
      <c r="I68" s="53"/>
    </row>
    <row r="69" spans="2:9" x14ac:dyDescent="0.25">
      <c r="B69" s="53"/>
      <c r="C69" s="53"/>
      <c r="D69" s="53"/>
      <c r="E69" s="53"/>
      <c r="F69" s="53"/>
      <c r="G69" s="53"/>
      <c r="H69" s="53"/>
      <c r="I69" s="53"/>
    </row>
    <row r="70" spans="2:9" ht="26.25" customHeight="1" x14ac:dyDescent="0.25">
      <c r="B70" s="149" t="s">
        <v>90</v>
      </c>
      <c r="C70" s="149"/>
      <c r="D70" s="149"/>
      <c r="E70" s="149"/>
      <c r="F70" s="149"/>
      <c r="G70" s="149"/>
      <c r="H70" s="149"/>
      <c r="I70" s="53"/>
    </row>
    <row r="71" spans="2:9" x14ac:dyDescent="0.25">
      <c r="B71" s="150" t="s">
        <v>0</v>
      </c>
      <c r="C71" s="150"/>
      <c r="D71" s="150" t="s">
        <v>25</v>
      </c>
      <c r="E71" s="150"/>
      <c r="F71" s="150"/>
      <c r="G71" s="150" t="s">
        <v>86</v>
      </c>
      <c r="H71" s="150" t="s">
        <v>7</v>
      </c>
      <c r="I71" s="53"/>
    </row>
    <row r="72" spans="2:9" x14ac:dyDescent="0.25">
      <c r="B72" s="150"/>
      <c r="C72" s="150"/>
      <c r="D72" s="54" t="s">
        <v>47</v>
      </c>
      <c r="E72" s="54" t="s">
        <v>8</v>
      </c>
      <c r="F72" s="54" t="s">
        <v>9</v>
      </c>
      <c r="G72" s="150"/>
      <c r="H72" s="150"/>
      <c r="I72" s="53"/>
    </row>
    <row r="73" spans="2:9" x14ac:dyDescent="0.25">
      <c r="B73" s="150" t="s">
        <v>89</v>
      </c>
      <c r="C73" s="54" t="s">
        <v>0</v>
      </c>
      <c r="D73" s="55">
        <v>4</v>
      </c>
      <c r="E73" s="55">
        <v>0</v>
      </c>
      <c r="F73" s="55">
        <v>0</v>
      </c>
      <c r="G73" s="56">
        <v>4.4999999999999998E-2</v>
      </c>
      <c r="H73" s="57">
        <v>4</v>
      </c>
      <c r="I73" s="53"/>
    </row>
    <row r="74" spans="2:9" x14ac:dyDescent="0.25">
      <c r="B74" s="150"/>
      <c r="C74" s="54" t="s">
        <v>31</v>
      </c>
      <c r="D74" s="55">
        <v>0</v>
      </c>
      <c r="E74" s="55">
        <v>8</v>
      </c>
      <c r="F74" s="55">
        <v>1</v>
      </c>
      <c r="G74" s="56">
        <v>0.10199999999999999</v>
      </c>
      <c r="H74" s="57">
        <v>9</v>
      </c>
      <c r="I74" s="53"/>
    </row>
    <row r="75" spans="2:9" x14ac:dyDescent="0.25">
      <c r="B75" s="150"/>
      <c r="C75" s="54" t="s">
        <v>32</v>
      </c>
      <c r="D75" s="55">
        <v>0</v>
      </c>
      <c r="E75" s="55">
        <v>5</v>
      </c>
      <c r="F75" s="55">
        <v>13</v>
      </c>
      <c r="G75" s="56">
        <v>0.20499999999999999</v>
      </c>
      <c r="H75" s="57">
        <v>18</v>
      </c>
      <c r="I75" s="53"/>
    </row>
    <row r="76" spans="2:9" x14ac:dyDescent="0.25">
      <c r="B76" s="150"/>
      <c r="C76" s="54" t="s">
        <v>33</v>
      </c>
      <c r="D76" s="55">
        <v>0</v>
      </c>
      <c r="E76" s="55">
        <v>6</v>
      </c>
      <c r="F76" s="55">
        <v>1</v>
      </c>
      <c r="G76" s="56">
        <v>0.08</v>
      </c>
      <c r="H76" s="57">
        <v>7</v>
      </c>
      <c r="I76" s="53"/>
    </row>
    <row r="77" spans="2:9" x14ac:dyDescent="0.25">
      <c r="B77" s="150"/>
      <c r="C77" s="54" t="s">
        <v>34</v>
      </c>
      <c r="D77" s="55">
        <v>0</v>
      </c>
      <c r="E77" s="55">
        <v>22</v>
      </c>
      <c r="F77" s="55">
        <v>6</v>
      </c>
      <c r="G77" s="56">
        <v>0.318</v>
      </c>
      <c r="H77" s="57">
        <v>28</v>
      </c>
      <c r="I77" s="53"/>
    </row>
    <row r="78" spans="2:9" x14ac:dyDescent="0.25">
      <c r="B78" s="150"/>
      <c r="C78" s="54" t="s">
        <v>35</v>
      </c>
      <c r="D78" s="55">
        <v>0</v>
      </c>
      <c r="E78" s="55">
        <v>15</v>
      </c>
      <c r="F78" s="55">
        <v>7</v>
      </c>
      <c r="G78" s="56">
        <v>0.25</v>
      </c>
      <c r="H78" s="57">
        <v>22</v>
      </c>
      <c r="I78" s="53"/>
    </row>
    <row r="79" spans="2:9" x14ac:dyDescent="0.25">
      <c r="B79" s="151" t="s">
        <v>7</v>
      </c>
      <c r="C79" s="151"/>
      <c r="D79" s="58">
        <v>4</v>
      </c>
      <c r="E79" s="58">
        <v>56</v>
      </c>
      <c r="F79" s="58">
        <v>28</v>
      </c>
      <c r="G79" s="59">
        <f>SUM(G73:G78)</f>
        <v>1</v>
      </c>
      <c r="H79" s="58">
        <v>88</v>
      </c>
      <c r="I79" s="53"/>
    </row>
    <row r="80" spans="2:9" x14ac:dyDescent="0.25">
      <c r="B80" s="53"/>
      <c r="C80" s="53"/>
      <c r="D80" s="53"/>
      <c r="E80" s="53"/>
      <c r="F80" s="53"/>
      <c r="G80" s="53"/>
      <c r="H80" s="53"/>
      <c r="I80" s="53"/>
    </row>
    <row r="81" spans="2:9" x14ac:dyDescent="0.25">
      <c r="B81" s="149" t="s">
        <v>87</v>
      </c>
      <c r="C81" s="149"/>
      <c r="D81" s="149"/>
      <c r="E81" s="149"/>
      <c r="F81" s="149"/>
      <c r="G81" s="149"/>
      <c r="H81" s="149"/>
      <c r="I81" s="53"/>
    </row>
    <row r="82" spans="2:9" x14ac:dyDescent="0.25">
      <c r="B82" s="150" t="s">
        <v>0</v>
      </c>
      <c r="C82" s="150"/>
      <c r="D82" s="150" t="s">
        <v>25</v>
      </c>
      <c r="E82" s="150"/>
      <c r="F82" s="150"/>
      <c r="G82" s="150" t="s">
        <v>86</v>
      </c>
      <c r="H82" s="150" t="s">
        <v>7</v>
      </c>
      <c r="I82" s="53"/>
    </row>
    <row r="83" spans="2:9" x14ac:dyDescent="0.25">
      <c r="B83" s="150"/>
      <c r="C83" s="150"/>
      <c r="D83" s="54" t="s">
        <v>47</v>
      </c>
      <c r="E83" s="54" t="s">
        <v>8</v>
      </c>
      <c r="F83" s="54" t="s">
        <v>9</v>
      </c>
      <c r="G83" s="150"/>
      <c r="H83" s="150"/>
      <c r="I83" s="53"/>
    </row>
    <row r="84" spans="2:9" x14ac:dyDescent="0.25">
      <c r="B84" s="150" t="s">
        <v>88</v>
      </c>
      <c r="C84" s="54" t="s">
        <v>0</v>
      </c>
      <c r="D84" s="55">
        <v>4</v>
      </c>
      <c r="E84" s="55">
        <v>0</v>
      </c>
      <c r="F84" s="55">
        <v>0</v>
      </c>
      <c r="G84" s="56">
        <v>4.4999999999999998E-2</v>
      </c>
      <c r="H84" s="57">
        <v>4</v>
      </c>
      <c r="I84" s="53"/>
    </row>
    <row r="85" spans="2:9" x14ac:dyDescent="0.25">
      <c r="B85" s="150"/>
      <c r="C85" s="54" t="s">
        <v>31</v>
      </c>
      <c r="D85" s="55">
        <v>0</v>
      </c>
      <c r="E85" s="55">
        <v>7</v>
      </c>
      <c r="F85" s="55">
        <v>5</v>
      </c>
      <c r="G85" s="56">
        <v>0.13600000000000001</v>
      </c>
      <c r="H85" s="57">
        <v>12</v>
      </c>
      <c r="I85" s="53"/>
    </row>
    <row r="86" spans="2:9" x14ac:dyDescent="0.25">
      <c r="B86" s="150"/>
      <c r="C86" s="54" t="s">
        <v>32</v>
      </c>
      <c r="D86" s="55">
        <v>0</v>
      </c>
      <c r="E86" s="55">
        <v>36</v>
      </c>
      <c r="F86" s="55">
        <v>18</v>
      </c>
      <c r="G86" s="56">
        <v>0.61399999999999999</v>
      </c>
      <c r="H86" s="57">
        <v>54</v>
      </c>
      <c r="I86" s="53"/>
    </row>
    <row r="87" spans="2:9" x14ac:dyDescent="0.25">
      <c r="B87" s="150"/>
      <c r="C87" s="54" t="s">
        <v>33</v>
      </c>
      <c r="D87" s="55">
        <v>0</v>
      </c>
      <c r="E87" s="55">
        <v>3</v>
      </c>
      <c r="F87" s="55">
        <v>1</v>
      </c>
      <c r="G87" s="56">
        <v>4.4999999999999998E-2</v>
      </c>
      <c r="H87" s="57">
        <v>4</v>
      </c>
      <c r="I87" s="53"/>
    </row>
    <row r="88" spans="2:9" x14ac:dyDescent="0.25">
      <c r="B88" s="150"/>
      <c r="C88" s="54" t="s">
        <v>34</v>
      </c>
      <c r="D88" s="55">
        <v>0</v>
      </c>
      <c r="E88" s="55">
        <v>5</v>
      </c>
      <c r="F88" s="55">
        <v>0</v>
      </c>
      <c r="G88" s="56">
        <v>5.7000000000000002E-2</v>
      </c>
      <c r="H88" s="57">
        <v>5</v>
      </c>
      <c r="I88" s="53"/>
    </row>
    <row r="89" spans="2:9" x14ac:dyDescent="0.25">
      <c r="B89" s="150"/>
      <c r="C89" s="54" t="s">
        <v>35</v>
      </c>
      <c r="D89" s="55">
        <v>0</v>
      </c>
      <c r="E89" s="55">
        <v>5</v>
      </c>
      <c r="F89" s="55">
        <v>4</v>
      </c>
      <c r="G89" s="56">
        <v>0.10299999999999999</v>
      </c>
      <c r="H89" s="57">
        <v>9</v>
      </c>
      <c r="I89" s="53"/>
    </row>
    <row r="90" spans="2:9" x14ac:dyDescent="0.25">
      <c r="B90" s="151" t="s">
        <v>7</v>
      </c>
      <c r="C90" s="151"/>
      <c r="D90" s="58">
        <v>4</v>
      </c>
      <c r="E90" s="58">
        <v>56</v>
      </c>
      <c r="F90" s="58">
        <v>28</v>
      </c>
      <c r="G90" s="59">
        <f>SUM(G84:G89)</f>
        <v>1</v>
      </c>
      <c r="H90" s="58">
        <v>88</v>
      </c>
      <c r="I90" s="53"/>
    </row>
    <row r="91" spans="2:9" x14ac:dyDescent="0.25"/>
    <row r="92" spans="2:9" x14ac:dyDescent="0.25"/>
  </sheetData>
  <mergeCells count="57">
    <mergeCell ref="B84:B89"/>
    <mergeCell ref="B90:C90"/>
    <mergeCell ref="G5:G6"/>
    <mergeCell ref="G16:G17"/>
    <mergeCell ref="G27:G28"/>
    <mergeCell ref="G38:G39"/>
    <mergeCell ref="G49:G50"/>
    <mergeCell ref="G60:G61"/>
    <mergeCell ref="G71:G72"/>
    <mergeCell ref="G82:G83"/>
    <mergeCell ref="B73:B78"/>
    <mergeCell ref="B79:C79"/>
    <mergeCell ref="B81:H81"/>
    <mergeCell ref="B82:C83"/>
    <mergeCell ref="D82:F82"/>
    <mergeCell ref="H82:H83"/>
    <mergeCell ref="B62:B67"/>
    <mergeCell ref="B68:C68"/>
    <mergeCell ref="B70:H70"/>
    <mergeCell ref="B71:C72"/>
    <mergeCell ref="D71:F71"/>
    <mergeCell ref="H71:H72"/>
    <mergeCell ref="B51:B56"/>
    <mergeCell ref="B57:C57"/>
    <mergeCell ref="B59:H59"/>
    <mergeCell ref="B60:C61"/>
    <mergeCell ref="D60:F60"/>
    <mergeCell ref="H60:H61"/>
    <mergeCell ref="B40:B45"/>
    <mergeCell ref="B46:C46"/>
    <mergeCell ref="B48:H48"/>
    <mergeCell ref="B49:C50"/>
    <mergeCell ref="D49:F49"/>
    <mergeCell ref="H49:H50"/>
    <mergeCell ref="B29:B34"/>
    <mergeCell ref="B35:C35"/>
    <mergeCell ref="B37:H37"/>
    <mergeCell ref="B38:C39"/>
    <mergeCell ref="D38:F38"/>
    <mergeCell ref="H38:H39"/>
    <mergeCell ref="B18:B23"/>
    <mergeCell ref="B24:C24"/>
    <mergeCell ref="B26:H26"/>
    <mergeCell ref="B27:C28"/>
    <mergeCell ref="D27:F27"/>
    <mergeCell ref="H27:H28"/>
    <mergeCell ref="B7:B12"/>
    <mergeCell ref="B13:C13"/>
    <mergeCell ref="B15:H15"/>
    <mergeCell ref="B16:C17"/>
    <mergeCell ref="D16:F16"/>
    <mergeCell ref="H16:H17"/>
    <mergeCell ref="A2:N2"/>
    <mergeCell ref="B4:H4"/>
    <mergeCell ref="B5:C6"/>
    <mergeCell ref="D5:F5"/>
    <mergeCell ref="H5:H6"/>
  </mergeCells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98"/>
  <sheetViews>
    <sheetView workbookViewId="0">
      <selection activeCell="L10" sqref="L10"/>
    </sheetView>
  </sheetViews>
  <sheetFormatPr defaultRowHeight="15" x14ac:dyDescent="0.25"/>
  <cols>
    <col min="3" max="3" width="25.42578125" customWidth="1"/>
    <col min="4" max="4" width="17" customWidth="1"/>
    <col min="5" max="5" width="11.42578125" customWidth="1"/>
    <col min="7" max="7" width="12.85546875" customWidth="1"/>
  </cols>
  <sheetData>
    <row r="2" spans="3:11" ht="20.25" x14ac:dyDescent="0.25">
      <c r="C2" s="148" t="s">
        <v>85</v>
      </c>
      <c r="D2" s="148"/>
      <c r="E2" s="148"/>
      <c r="F2" s="148"/>
      <c r="G2" s="148"/>
      <c r="H2" s="148"/>
      <c r="I2" s="148"/>
      <c r="J2" s="148"/>
      <c r="K2" s="148"/>
    </row>
    <row r="5" spans="3:11" ht="15.75" customHeight="1" thickBot="1" x14ac:dyDescent="0.3">
      <c r="C5" s="154" t="s">
        <v>194</v>
      </c>
      <c r="D5" s="154"/>
      <c r="E5" s="154"/>
      <c r="F5" s="154"/>
      <c r="G5" s="154"/>
      <c r="H5" s="154"/>
      <c r="I5" s="154"/>
      <c r="J5" s="154"/>
    </row>
    <row r="6" spans="3:11" ht="15" customHeight="1" x14ac:dyDescent="0.25">
      <c r="C6" s="155" t="s">
        <v>0</v>
      </c>
      <c r="D6" s="156"/>
      <c r="E6" s="159" t="s">
        <v>169</v>
      </c>
      <c r="F6" s="160"/>
      <c r="G6" s="160"/>
      <c r="H6" s="161"/>
      <c r="I6" s="146" t="s">
        <v>59</v>
      </c>
      <c r="J6" s="162" t="s">
        <v>7</v>
      </c>
    </row>
    <row r="7" spans="3:11" ht="36.75" customHeight="1" thickBot="1" x14ac:dyDescent="0.3">
      <c r="C7" s="157"/>
      <c r="D7" s="158"/>
      <c r="E7" s="93" t="s">
        <v>47</v>
      </c>
      <c r="F7" s="93" t="s">
        <v>4</v>
      </c>
      <c r="G7" s="93" t="s">
        <v>5</v>
      </c>
      <c r="H7" s="93" t="s">
        <v>6</v>
      </c>
      <c r="I7" s="147"/>
      <c r="J7" s="163"/>
    </row>
    <row r="8" spans="3:11" ht="15" customHeight="1" x14ac:dyDescent="0.25">
      <c r="C8" s="152" t="s">
        <v>102</v>
      </c>
      <c r="D8" s="29"/>
      <c r="E8" s="34">
        <v>4</v>
      </c>
      <c r="F8" s="34">
        <v>0</v>
      </c>
      <c r="G8" s="34">
        <v>0</v>
      </c>
      <c r="H8" s="34">
        <v>0</v>
      </c>
      <c r="I8" s="37">
        <v>4.4999999999999998E-2</v>
      </c>
      <c r="J8" s="38">
        <f t="shared" ref="J8:J13" si="0">SUM(E8:I8)</f>
        <v>4.0449999999999999</v>
      </c>
      <c r="K8" s="94"/>
    </row>
    <row r="9" spans="3:11" x14ac:dyDescent="0.25">
      <c r="C9" s="153"/>
      <c r="D9" s="25" t="s">
        <v>31</v>
      </c>
      <c r="E9" s="26">
        <v>0</v>
      </c>
      <c r="F9" s="26">
        <v>2</v>
      </c>
      <c r="G9" s="26">
        <v>5</v>
      </c>
      <c r="H9" s="26">
        <v>2</v>
      </c>
      <c r="I9" s="37">
        <v>0.10199999999999999</v>
      </c>
      <c r="J9" s="38">
        <f t="shared" si="0"/>
        <v>9.1020000000000003</v>
      </c>
      <c r="K9" s="94"/>
    </row>
    <row r="10" spans="3:11" x14ac:dyDescent="0.25">
      <c r="C10" s="153"/>
      <c r="D10" s="25" t="s">
        <v>32</v>
      </c>
      <c r="E10" s="26">
        <v>0</v>
      </c>
      <c r="F10" s="26">
        <v>3</v>
      </c>
      <c r="G10" s="26">
        <v>8</v>
      </c>
      <c r="H10" s="26">
        <v>20</v>
      </c>
      <c r="I10" s="37">
        <v>0.35199999999999998</v>
      </c>
      <c r="J10" s="38">
        <f t="shared" si="0"/>
        <v>31.352</v>
      </c>
      <c r="K10" s="94"/>
    </row>
    <row r="11" spans="3:11" x14ac:dyDescent="0.25">
      <c r="C11" s="153"/>
      <c r="D11" s="25" t="s">
        <v>33</v>
      </c>
      <c r="E11" s="26">
        <v>0</v>
      </c>
      <c r="F11" s="26">
        <v>2</v>
      </c>
      <c r="G11" s="26">
        <v>7</v>
      </c>
      <c r="H11" s="26">
        <v>5</v>
      </c>
      <c r="I11" s="37">
        <v>0.159</v>
      </c>
      <c r="J11" s="38">
        <f t="shared" si="0"/>
        <v>14.159000000000001</v>
      </c>
      <c r="K11" s="94"/>
    </row>
    <row r="12" spans="3:11" x14ac:dyDescent="0.25">
      <c r="C12" s="153"/>
      <c r="D12" s="25" t="s">
        <v>34</v>
      </c>
      <c r="E12" s="26">
        <v>0</v>
      </c>
      <c r="F12" s="26">
        <v>6</v>
      </c>
      <c r="G12" s="26">
        <v>3</v>
      </c>
      <c r="H12" s="26">
        <v>14</v>
      </c>
      <c r="I12" s="37">
        <v>0.26200000000000001</v>
      </c>
      <c r="J12" s="38">
        <f t="shared" si="0"/>
        <v>23.262</v>
      </c>
      <c r="K12" s="94"/>
    </row>
    <row r="13" spans="3:11" x14ac:dyDescent="0.25">
      <c r="C13" s="130"/>
      <c r="D13" s="25" t="s">
        <v>35</v>
      </c>
      <c r="E13" s="26">
        <v>0</v>
      </c>
      <c r="F13" s="26">
        <v>1</v>
      </c>
      <c r="G13" s="26">
        <v>4</v>
      </c>
      <c r="H13" s="26">
        <v>2</v>
      </c>
      <c r="I13" s="37">
        <v>0.08</v>
      </c>
      <c r="J13" s="38">
        <f t="shared" si="0"/>
        <v>7.08</v>
      </c>
      <c r="K13" s="94"/>
    </row>
    <row r="14" spans="3:11" ht="15.75" thickBot="1" x14ac:dyDescent="0.3">
      <c r="C14" s="164" t="s">
        <v>7</v>
      </c>
      <c r="D14" s="165"/>
      <c r="E14" s="30">
        <f>SUM(E8:E13)</f>
        <v>4</v>
      </c>
      <c r="F14" s="30">
        <f t="shared" ref="F14:I14" si="1">SUM(F8:F13)</f>
        <v>14</v>
      </c>
      <c r="G14" s="30">
        <f t="shared" si="1"/>
        <v>27</v>
      </c>
      <c r="H14" s="30">
        <f t="shared" si="1"/>
        <v>43</v>
      </c>
      <c r="I14" s="99">
        <f t="shared" si="1"/>
        <v>1</v>
      </c>
      <c r="J14" s="30">
        <v>88</v>
      </c>
    </row>
    <row r="17" spans="3:11" ht="15.75" customHeight="1" thickBot="1" x14ac:dyDescent="0.3">
      <c r="C17" s="154" t="s">
        <v>195</v>
      </c>
      <c r="D17" s="154"/>
      <c r="E17" s="154"/>
      <c r="F17" s="154"/>
      <c r="G17" s="154"/>
      <c r="H17" s="154"/>
      <c r="I17" s="154"/>
      <c r="J17" s="154"/>
    </row>
    <row r="18" spans="3:11" ht="15" customHeight="1" x14ac:dyDescent="0.25">
      <c r="C18" s="155" t="s">
        <v>0</v>
      </c>
      <c r="D18" s="156"/>
      <c r="E18" s="159" t="s">
        <v>169</v>
      </c>
      <c r="F18" s="160"/>
      <c r="G18" s="160"/>
      <c r="H18" s="161"/>
      <c r="I18" s="146" t="s">
        <v>59</v>
      </c>
      <c r="J18" s="162" t="s">
        <v>7</v>
      </c>
    </row>
    <row r="19" spans="3:11" ht="24.75" thickBot="1" x14ac:dyDescent="0.3">
      <c r="C19" s="157"/>
      <c r="D19" s="158"/>
      <c r="E19" s="93" t="s">
        <v>47</v>
      </c>
      <c r="F19" s="93" t="s">
        <v>4</v>
      </c>
      <c r="G19" s="93" t="s">
        <v>5</v>
      </c>
      <c r="H19" s="93" t="s">
        <v>6</v>
      </c>
      <c r="I19" s="147"/>
      <c r="J19" s="163"/>
    </row>
    <row r="20" spans="3:11" ht="15" customHeight="1" x14ac:dyDescent="0.25">
      <c r="C20" s="152" t="s">
        <v>100</v>
      </c>
      <c r="D20" s="29"/>
      <c r="E20" s="34">
        <v>4</v>
      </c>
      <c r="F20" s="34">
        <v>0</v>
      </c>
      <c r="G20" s="34">
        <v>0</v>
      </c>
      <c r="H20" s="34">
        <v>0</v>
      </c>
      <c r="I20" s="37">
        <v>4.4999999999999998E-2</v>
      </c>
      <c r="J20" s="38">
        <f t="shared" ref="J20:J25" si="2">SUM(E20:I20)</f>
        <v>4.0449999999999999</v>
      </c>
      <c r="K20" s="94"/>
    </row>
    <row r="21" spans="3:11" x14ac:dyDescent="0.25">
      <c r="C21" s="153"/>
      <c r="D21" s="25" t="s">
        <v>31</v>
      </c>
      <c r="E21" s="26">
        <v>0</v>
      </c>
      <c r="F21" s="26">
        <v>5</v>
      </c>
      <c r="G21" s="26">
        <v>13</v>
      </c>
      <c r="H21" s="26">
        <v>3</v>
      </c>
      <c r="I21" s="37">
        <v>0.23899999999999999</v>
      </c>
      <c r="J21" s="38">
        <f t="shared" si="2"/>
        <v>21.239000000000001</v>
      </c>
      <c r="K21" s="94"/>
    </row>
    <row r="22" spans="3:11" x14ac:dyDescent="0.25">
      <c r="C22" s="153"/>
      <c r="D22" s="25" t="s">
        <v>32</v>
      </c>
      <c r="E22" s="26">
        <v>0</v>
      </c>
      <c r="F22" s="26">
        <v>6</v>
      </c>
      <c r="G22" s="26">
        <v>12</v>
      </c>
      <c r="H22" s="26">
        <v>29</v>
      </c>
      <c r="I22" s="37">
        <v>0.53400000000000003</v>
      </c>
      <c r="J22" s="38">
        <f t="shared" si="2"/>
        <v>47.533999999999999</v>
      </c>
      <c r="K22" s="94"/>
    </row>
    <row r="23" spans="3:11" x14ac:dyDescent="0.25">
      <c r="C23" s="153"/>
      <c r="D23" s="25" t="s">
        <v>33</v>
      </c>
      <c r="E23" s="26">
        <v>0</v>
      </c>
      <c r="F23" s="26">
        <v>1</v>
      </c>
      <c r="G23" s="26">
        <v>1</v>
      </c>
      <c r="H23" s="26">
        <v>1</v>
      </c>
      <c r="I23" s="37">
        <v>3.4000000000000002E-2</v>
      </c>
      <c r="J23" s="38">
        <f t="shared" si="2"/>
        <v>3.0339999999999998</v>
      </c>
      <c r="K23" s="94"/>
    </row>
    <row r="24" spans="3:11" x14ac:dyDescent="0.25">
      <c r="C24" s="153"/>
      <c r="D24" s="25" t="s">
        <v>34</v>
      </c>
      <c r="E24" s="26">
        <v>0</v>
      </c>
      <c r="F24" s="26">
        <v>0</v>
      </c>
      <c r="G24" s="26">
        <v>0</v>
      </c>
      <c r="H24" s="26">
        <v>2</v>
      </c>
      <c r="I24" s="37">
        <v>2.3E-2</v>
      </c>
      <c r="J24" s="38">
        <f t="shared" si="2"/>
        <v>2.0230000000000001</v>
      </c>
      <c r="K24" s="94"/>
    </row>
    <row r="25" spans="3:11" x14ac:dyDescent="0.25">
      <c r="C25" s="130"/>
      <c r="D25" s="25" t="s">
        <v>35</v>
      </c>
      <c r="E25" s="26">
        <v>0</v>
      </c>
      <c r="F25" s="26">
        <v>2</v>
      </c>
      <c r="G25" s="26">
        <v>1</v>
      </c>
      <c r="H25" s="26">
        <v>8</v>
      </c>
      <c r="I25" s="37">
        <v>0.125</v>
      </c>
      <c r="J25" s="38">
        <f t="shared" si="2"/>
        <v>11.125</v>
      </c>
      <c r="K25" s="94"/>
    </row>
    <row r="26" spans="3:11" ht="15.75" thickBot="1" x14ac:dyDescent="0.3">
      <c r="C26" s="164" t="s">
        <v>7</v>
      </c>
      <c r="D26" s="165"/>
      <c r="E26" s="30">
        <f>SUM(E20:E25)</f>
        <v>4</v>
      </c>
      <c r="F26" s="30">
        <f t="shared" ref="F26" si="3">SUM(F20:F25)</f>
        <v>14</v>
      </c>
      <c r="G26" s="30">
        <f t="shared" ref="G26" si="4">SUM(G20:G25)</f>
        <v>27</v>
      </c>
      <c r="H26" s="30">
        <f t="shared" ref="H26" si="5">SUM(H20:H25)</f>
        <v>43</v>
      </c>
      <c r="I26" s="99">
        <f t="shared" ref="I26" si="6">SUM(I20:I25)</f>
        <v>1</v>
      </c>
      <c r="J26" s="30">
        <v>88</v>
      </c>
    </row>
    <row r="29" spans="3:11" ht="15.75" customHeight="1" thickBot="1" x14ac:dyDescent="0.3">
      <c r="C29" s="154" t="s">
        <v>196</v>
      </c>
      <c r="D29" s="154"/>
      <c r="E29" s="154"/>
      <c r="F29" s="154"/>
      <c r="G29" s="154"/>
      <c r="H29" s="154"/>
      <c r="I29" s="154"/>
      <c r="J29" s="154"/>
    </row>
    <row r="30" spans="3:11" ht="15" customHeight="1" x14ac:dyDescent="0.25">
      <c r="C30" s="155" t="s">
        <v>0</v>
      </c>
      <c r="D30" s="156"/>
      <c r="E30" s="159" t="s">
        <v>169</v>
      </c>
      <c r="F30" s="160"/>
      <c r="G30" s="160"/>
      <c r="H30" s="161"/>
      <c r="I30" s="146" t="s">
        <v>59</v>
      </c>
      <c r="J30" s="162" t="s">
        <v>7</v>
      </c>
    </row>
    <row r="31" spans="3:11" ht="24.75" thickBot="1" x14ac:dyDescent="0.3">
      <c r="C31" s="157"/>
      <c r="D31" s="158"/>
      <c r="E31" s="93" t="s">
        <v>47</v>
      </c>
      <c r="F31" s="93" t="s">
        <v>4</v>
      </c>
      <c r="G31" s="93" t="s">
        <v>5</v>
      </c>
      <c r="H31" s="93" t="s">
        <v>6</v>
      </c>
      <c r="I31" s="147"/>
      <c r="J31" s="163"/>
    </row>
    <row r="32" spans="3:11" ht="15" customHeight="1" x14ac:dyDescent="0.25">
      <c r="C32" s="152" t="s">
        <v>98</v>
      </c>
      <c r="D32" s="29"/>
      <c r="E32" s="34">
        <v>4</v>
      </c>
      <c r="F32" s="34">
        <v>0</v>
      </c>
      <c r="G32" s="34">
        <v>0</v>
      </c>
      <c r="H32" s="34">
        <v>0</v>
      </c>
      <c r="I32" s="37">
        <v>4.4999999999999998E-2</v>
      </c>
      <c r="J32" s="38">
        <f t="shared" ref="J32:J37" si="7">SUM(E32:I32)</f>
        <v>4.0449999999999999</v>
      </c>
      <c r="K32" s="94"/>
    </row>
    <row r="33" spans="3:11" x14ac:dyDescent="0.25">
      <c r="C33" s="153"/>
      <c r="D33" s="25" t="s">
        <v>31</v>
      </c>
      <c r="E33" s="26">
        <v>0</v>
      </c>
      <c r="F33" s="26">
        <v>1</v>
      </c>
      <c r="G33" s="26">
        <v>10</v>
      </c>
      <c r="H33" s="26">
        <v>2</v>
      </c>
      <c r="I33" s="37">
        <v>0.14799999999999999</v>
      </c>
      <c r="J33" s="38">
        <f t="shared" si="7"/>
        <v>13.148</v>
      </c>
      <c r="K33" s="94"/>
    </row>
    <row r="34" spans="3:11" x14ac:dyDescent="0.25">
      <c r="C34" s="153"/>
      <c r="D34" s="25" t="s">
        <v>32</v>
      </c>
      <c r="E34" s="26">
        <v>0</v>
      </c>
      <c r="F34" s="26">
        <v>4</v>
      </c>
      <c r="G34" s="26">
        <v>12</v>
      </c>
      <c r="H34" s="26">
        <v>25</v>
      </c>
      <c r="I34" s="37">
        <v>0.46600000000000003</v>
      </c>
      <c r="J34" s="38">
        <f t="shared" si="7"/>
        <v>41.466000000000001</v>
      </c>
      <c r="K34" s="94"/>
    </row>
    <row r="35" spans="3:11" x14ac:dyDescent="0.25">
      <c r="C35" s="153"/>
      <c r="D35" s="25" t="s">
        <v>33</v>
      </c>
      <c r="E35" s="26">
        <v>0</v>
      </c>
      <c r="F35" s="26">
        <v>2</v>
      </c>
      <c r="G35" s="26">
        <v>1</v>
      </c>
      <c r="H35" s="26">
        <v>1</v>
      </c>
      <c r="I35" s="37">
        <v>4.4999999999999998E-2</v>
      </c>
      <c r="J35" s="38">
        <f t="shared" si="7"/>
        <v>4.0449999999999999</v>
      </c>
      <c r="K35" s="94"/>
    </row>
    <row r="36" spans="3:11" x14ac:dyDescent="0.25">
      <c r="C36" s="153"/>
      <c r="D36" s="25" t="s">
        <v>34</v>
      </c>
      <c r="E36" s="26">
        <v>0</v>
      </c>
      <c r="F36" s="26">
        <v>0</v>
      </c>
      <c r="G36" s="26">
        <v>0</v>
      </c>
      <c r="H36" s="26">
        <v>3</v>
      </c>
      <c r="I36" s="37">
        <v>3.4000000000000002E-2</v>
      </c>
      <c r="J36" s="38">
        <f t="shared" si="7"/>
        <v>3.0339999999999998</v>
      </c>
      <c r="K36" s="94"/>
    </row>
    <row r="37" spans="3:11" x14ac:dyDescent="0.25">
      <c r="C37" s="130"/>
      <c r="D37" s="25" t="s">
        <v>35</v>
      </c>
      <c r="E37" s="26">
        <v>0</v>
      </c>
      <c r="F37" s="26">
        <v>7</v>
      </c>
      <c r="G37" s="26">
        <v>4</v>
      </c>
      <c r="H37" s="26">
        <v>12</v>
      </c>
      <c r="I37" s="37">
        <v>0.26200000000000001</v>
      </c>
      <c r="J37" s="38">
        <f t="shared" si="7"/>
        <v>23.262</v>
      </c>
      <c r="K37" s="94"/>
    </row>
    <row r="38" spans="3:11" ht="15.75" thickBot="1" x14ac:dyDescent="0.3">
      <c r="C38" s="164" t="s">
        <v>7</v>
      </c>
      <c r="D38" s="165"/>
      <c r="E38" s="30">
        <f>SUM(E32:E37)</f>
        <v>4</v>
      </c>
      <c r="F38" s="30">
        <f t="shared" ref="F38" si="8">SUM(F32:F37)</f>
        <v>14</v>
      </c>
      <c r="G38" s="30">
        <f t="shared" ref="G38" si="9">SUM(G32:G37)</f>
        <v>27</v>
      </c>
      <c r="H38" s="30">
        <f t="shared" ref="H38" si="10">SUM(H32:H37)</f>
        <v>43</v>
      </c>
      <c r="I38" s="99">
        <f t="shared" ref="I38" si="11">SUM(I32:I37)</f>
        <v>1</v>
      </c>
      <c r="J38" s="30">
        <v>88</v>
      </c>
    </row>
    <row r="41" spans="3:11" ht="15.75" customHeight="1" thickBot="1" x14ac:dyDescent="0.3">
      <c r="C41" s="154" t="s">
        <v>197</v>
      </c>
      <c r="D41" s="154"/>
      <c r="E41" s="154"/>
      <c r="F41" s="154"/>
      <c r="G41" s="154"/>
      <c r="H41" s="154"/>
      <c r="I41" s="154"/>
      <c r="J41" s="154"/>
    </row>
    <row r="42" spans="3:11" ht="15" customHeight="1" x14ac:dyDescent="0.25">
      <c r="C42" s="155" t="s">
        <v>0</v>
      </c>
      <c r="D42" s="156"/>
      <c r="E42" s="159" t="s">
        <v>169</v>
      </c>
      <c r="F42" s="160"/>
      <c r="G42" s="160"/>
      <c r="H42" s="161"/>
      <c r="I42" s="146" t="s">
        <v>59</v>
      </c>
      <c r="J42" s="162" t="s">
        <v>7</v>
      </c>
    </row>
    <row r="43" spans="3:11" ht="24.75" thickBot="1" x14ac:dyDescent="0.3">
      <c r="C43" s="157"/>
      <c r="D43" s="158"/>
      <c r="E43" s="93" t="s">
        <v>47</v>
      </c>
      <c r="F43" s="93" t="s">
        <v>4</v>
      </c>
      <c r="G43" s="93" t="s">
        <v>5</v>
      </c>
      <c r="H43" s="93" t="s">
        <v>6</v>
      </c>
      <c r="I43" s="147"/>
      <c r="J43" s="163"/>
    </row>
    <row r="44" spans="3:11" ht="15" customHeight="1" x14ac:dyDescent="0.25">
      <c r="C44" s="152" t="s">
        <v>198</v>
      </c>
      <c r="D44" s="29"/>
      <c r="E44" s="34">
        <v>4</v>
      </c>
      <c r="F44" s="34">
        <v>0</v>
      </c>
      <c r="G44" s="34">
        <v>0</v>
      </c>
      <c r="H44" s="34">
        <v>0</v>
      </c>
      <c r="I44" s="37">
        <v>4.4999999999999998E-2</v>
      </c>
      <c r="J44" s="38">
        <f t="shared" ref="J44:J49" si="12">SUM(E44:I44)</f>
        <v>4.0449999999999999</v>
      </c>
      <c r="K44" s="94"/>
    </row>
    <row r="45" spans="3:11" x14ac:dyDescent="0.25">
      <c r="C45" s="153"/>
      <c r="D45" s="25" t="s">
        <v>31</v>
      </c>
      <c r="E45" s="26">
        <v>0</v>
      </c>
      <c r="F45" s="26">
        <v>4</v>
      </c>
      <c r="G45" s="26">
        <v>10</v>
      </c>
      <c r="H45" s="26">
        <v>1</v>
      </c>
      <c r="I45" s="37">
        <v>0.17</v>
      </c>
      <c r="J45" s="38">
        <f t="shared" si="12"/>
        <v>15.17</v>
      </c>
      <c r="K45" s="94"/>
    </row>
    <row r="46" spans="3:11" x14ac:dyDescent="0.25">
      <c r="C46" s="153"/>
      <c r="D46" s="25" t="s">
        <v>32</v>
      </c>
      <c r="E46" s="26">
        <v>0</v>
      </c>
      <c r="F46" s="26">
        <v>3</v>
      </c>
      <c r="G46" s="26">
        <v>12</v>
      </c>
      <c r="H46" s="26">
        <v>27</v>
      </c>
      <c r="I46" s="37">
        <v>0.47699999999999998</v>
      </c>
      <c r="J46" s="38">
        <f t="shared" si="12"/>
        <v>42.476999999999997</v>
      </c>
      <c r="K46" s="94"/>
    </row>
    <row r="47" spans="3:11" x14ac:dyDescent="0.25">
      <c r="C47" s="153"/>
      <c r="D47" s="25" t="s">
        <v>33</v>
      </c>
      <c r="E47" s="26">
        <v>0</v>
      </c>
      <c r="F47" s="26">
        <v>1</v>
      </c>
      <c r="G47" s="26">
        <v>3</v>
      </c>
      <c r="H47" s="26">
        <v>4</v>
      </c>
      <c r="I47" s="37">
        <v>9.0999999999999998E-2</v>
      </c>
      <c r="J47" s="38">
        <f t="shared" si="12"/>
        <v>8.0909999999999993</v>
      </c>
      <c r="K47" s="94"/>
    </row>
    <row r="48" spans="3:11" x14ac:dyDescent="0.25">
      <c r="C48" s="153"/>
      <c r="D48" s="25" t="s">
        <v>34</v>
      </c>
      <c r="E48" s="26">
        <v>0</v>
      </c>
      <c r="F48" s="26">
        <v>3</v>
      </c>
      <c r="G48" s="26">
        <v>0</v>
      </c>
      <c r="H48" s="26">
        <v>3</v>
      </c>
      <c r="I48" s="37">
        <v>6.8000000000000005E-2</v>
      </c>
      <c r="J48" s="38">
        <f t="shared" si="12"/>
        <v>6.0679999999999996</v>
      </c>
      <c r="K48" s="94"/>
    </row>
    <row r="49" spans="3:11" x14ac:dyDescent="0.25">
      <c r="C49" s="130"/>
      <c r="D49" s="25" t="s">
        <v>35</v>
      </c>
      <c r="E49" s="26">
        <v>0</v>
      </c>
      <c r="F49" s="26">
        <v>3</v>
      </c>
      <c r="G49" s="26">
        <v>2</v>
      </c>
      <c r="H49" s="26">
        <v>8</v>
      </c>
      <c r="I49" s="37">
        <v>0.14899999999999999</v>
      </c>
      <c r="J49" s="38">
        <f t="shared" si="12"/>
        <v>13.148999999999999</v>
      </c>
      <c r="K49" s="94"/>
    </row>
    <row r="50" spans="3:11" ht="15.75" thickBot="1" x14ac:dyDescent="0.3">
      <c r="C50" s="164" t="s">
        <v>7</v>
      </c>
      <c r="D50" s="165"/>
      <c r="E50" s="30">
        <f>SUM(E44:E49)</f>
        <v>4</v>
      </c>
      <c r="F50" s="30">
        <f t="shared" ref="F50" si="13">SUM(F44:F49)</f>
        <v>14</v>
      </c>
      <c r="G50" s="30">
        <f t="shared" ref="G50" si="14">SUM(G44:G49)</f>
        <v>27</v>
      </c>
      <c r="H50" s="30">
        <f t="shared" ref="H50" si="15">SUM(H44:H49)</f>
        <v>43</v>
      </c>
      <c r="I50" s="99">
        <f t="shared" ref="I50" si="16">SUM(I44:I49)</f>
        <v>1</v>
      </c>
      <c r="J50" s="30">
        <v>88</v>
      </c>
    </row>
    <row r="53" spans="3:11" ht="15.75" customHeight="1" thickBot="1" x14ac:dyDescent="0.3">
      <c r="C53" s="154" t="s">
        <v>199</v>
      </c>
      <c r="D53" s="154"/>
      <c r="E53" s="154"/>
      <c r="F53" s="154"/>
      <c r="G53" s="154"/>
      <c r="H53" s="154"/>
      <c r="I53" s="154"/>
      <c r="J53" s="154"/>
    </row>
    <row r="54" spans="3:11" ht="15" customHeight="1" x14ac:dyDescent="0.25">
      <c r="C54" s="155" t="s">
        <v>0</v>
      </c>
      <c r="D54" s="156"/>
      <c r="E54" s="159" t="s">
        <v>169</v>
      </c>
      <c r="F54" s="160"/>
      <c r="G54" s="160"/>
      <c r="H54" s="161"/>
      <c r="I54" s="146" t="s">
        <v>59</v>
      </c>
      <c r="J54" s="162" t="s">
        <v>7</v>
      </c>
    </row>
    <row r="55" spans="3:11" ht="24.75" thickBot="1" x14ac:dyDescent="0.3">
      <c r="C55" s="157"/>
      <c r="D55" s="158"/>
      <c r="E55" s="93" t="s">
        <v>47</v>
      </c>
      <c r="F55" s="93" t="s">
        <v>4</v>
      </c>
      <c r="G55" s="93" t="s">
        <v>5</v>
      </c>
      <c r="H55" s="93" t="s">
        <v>6</v>
      </c>
      <c r="I55" s="147"/>
      <c r="J55" s="163"/>
    </row>
    <row r="56" spans="3:11" ht="15" customHeight="1" x14ac:dyDescent="0.25">
      <c r="C56" s="152" t="s">
        <v>200</v>
      </c>
      <c r="D56" s="29"/>
      <c r="E56" s="34">
        <v>4</v>
      </c>
      <c r="F56" s="34">
        <v>0</v>
      </c>
      <c r="G56" s="34">
        <v>0</v>
      </c>
      <c r="H56" s="34">
        <v>0</v>
      </c>
      <c r="I56" s="37">
        <v>4.4999999999999998E-2</v>
      </c>
      <c r="J56" s="38">
        <f t="shared" ref="J56:J61" si="17">SUM(E56:I56)</f>
        <v>4.0449999999999999</v>
      </c>
      <c r="K56" s="94"/>
    </row>
    <row r="57" spans="3:11" x14ac:dyDescent="0.25">
      <c r="C57" s="153"/>
      <c r="D57" s="25" t="s">
        <v>31</v>
      </c>
      <c r="E57" s="26">
        <v>0</v>
      </c>
      <c r="F57" s="26">
        <v>3</v>
      </c>
      <c r="G57" s="26">
        <v>8</v>
      </c>
      <c r="H57" s="26">
        <v>7</v>
      </c>
      <c r="I57" s="37">
        <v>0.20499999999999999</v>
      </c>
      <c r="J57" s="38">
        <f t="shared" si="17"/>
        <v>18.204999999999998</v>
      </c>
      <c r="K57" s="94"/>
    </row>
    <row r="58" spans="3:11" x14ac:dyDescent="0.25">
      <c r="C58" s="153"/>
      <c r="D58" s="25" t="s">
        <v>32</v>
      </c>
      <c r="E58" s="26">
        <v>0</v>
      </c>
      <c r="F58" s="26">
        <v>0</v>
      </c>
      <c r="G58" s="26">
        <v>4</v>
      </c>
      <c r="H58" s="26">
        <v>12</v>
      </c>
      <c r="I58" s="37">
        <v>0.182</v>
      </c>
      <c r="J58" s="38">
        <f t="shared" si="17"/>
        <v>16.181999999999999</v>
      </c>
      <c r="K58" s="94"/>
    </row>
    <row r="59" spans="3:11" x14ac:dyDescent="0.25">
      <c r="C59" s="153"/>
      <c r="D59" s="25" t="s">
        <v>33</v>
      </c>
      <c r="E59" s="26">
        <v>0</v>
      </c>
      <c r="F59" s="26">
        <v>1</v>
      </c>
      <c r="G59" s="26">
        <v>1</v>
      </c>
      <c r="H59" s="26">
        <v>3</v>
      </c>
      <c r="I59" s="37">
        <v>5.7000000000000002E-2</v>
      </c>
      <c r="J59" s="38">
        <f t="shared" si="17"/>
        <v>5.0570000000000004</v>
      </c>
      <c r="K59" s="94"/>
    </row>
    <row r="60" spans="3:11" x14ac:dyDescent="0.25">
      <c r="C60" s="153"/>
      <c r="D60" s="25" t="s">
        <v>34</v>
      </c>
      <c r="E60" s="26">
        <v>0</v>
      </c>
      <c r="F60" s="26">
        <v>0</v>
      </c>
      <c r="G60" s="26">
        <v>4</v>
      </c>
      <c r="H60" s="26">
        <v>7</v>
      </c>
      <c r="I60" s="37">
        <v>0.125</v>
      </c>
      <c r="J60" s="38">
        <f t="shared" si="17"/>
        <v>11.125</v>
      </c>
      <c r="K60" s="94"/>
    </row>
    <row r="61" spans="3:11" x14ac:dyDescent="0.25">
      <c r="C61" s="130"/>
      <c r="D61" s="25" t="s">
        <v>35</v>
      </c>
      <c r="E61" s="26">
        <v>0</v>
      </c>
      <c r="F61" s="26">
        <v>10</v>
      </c>
      <c r="G61" s="26">
        <v>10</v>
      </c>
      <c r="H61" s="26">
        <v>14</v>
      </c>
      <c r="I61" s="37">
        <v>0.38600000000000001</v>
      </c>
      <c r="J61" s="38">
        <f t="shared" si="17"/>
        <v>34.386000000000003</v>
      </c>
      <c r="K61" s="94"/>
    </row>
    <row r="62" spans="3:11" ht="15.75" thickBot="1" x14ac:dyDescent="0.3">
      <c r="C62" s="164" t="s">
        <v>7</v>
      </c>
      <c r="D62" s="165"/>
      <c r="E62" s="30">
        <f>SUM(E56:E61)</f>
        <v>4</v>
      </c>
      <c r="F62" s="30">
        <f t="shared" ref="F62" si="18">SUM(F56:F61)</f>
        <v>14</v>
      </c>
      <c r="G62" s="30">
        <f t="shared" ref="G62" si="19">SUM(G56:G61)</f>
        <v>27</v>
      </c>
      <c r="H62" s="30">
        <f t="shared" ref="H62" si="20">SUM(H56:H61)</f>
        <v>43</v>
      </c>
      <c r="I62" s="99">
        <f t="shared" ref="I62" si="21">SUM(I56:I61)</f>
        <v>1</v>
      </c>
      <c r="J62" s="30">
        <v>88</v>
      </c>
    </row>
    <row r="65" spans="3:11" ht="15.75" customHeight="1" thickBot="1" x14ac:dyDescent="0.3">
      <c r="C65" s="154" t="s">
        <v>201</v>
      </c>
      <c r="D65" s="154"/>
      <c r="E65" s="154"/>
      <c r="F65" s="154"/>
      <c r="G65" s="154"/>
      <c r="H65" s="154"/>
      <c r="I65" s="154"/>
      <c r="J65" s="154"/>
    </row>
    <row r="66" spans="3:11" ht="15" customHeight="1" x14ac:dyDescent="0.25">
      <c r="C66" s="155" t="s">
        <v>0</v>
      </c>
      <c r="D66" s="156"/>
      <c r="E66" s="159" t="s">
        <v>169</v>
      </c>
      <c r="F66" s="160"/>
      <c r="G66" s="160"/>
      <c r="H66" s="161"/>
      <c r="I66" s="146" t="s">
        <v>59</v>
      </c>
      <c r="J66" s="162" t="s">
        <v>7</v>
      </c>
    </row>
    <row r="67" spans="3:11" ht="24.75" thickBot="1" x14ac:dyDescent="0.3">
      <c r="C67" s="157"/>
      <c r="D67" s="158"/>
      <c r="E67" s="93" t="s">
        <v>47</v>
      </c>
      <c r="F67" s="93" t="s">
        <v>4</v>
      </c>
      <c r="G67" s="93" t="s">
        <v>5</v>
      </c>
      <c r="H67" s="93" t="s">
        <v>6</v>
      </c>
      <c r="I67" s="147"/>
      <c r="J67" s="163"/>
    </row>
    <row r="68" spans="3:11" ht="15" customHeight="1" x14ac:dyDescent="0.25">
      <c r="C68" s="152" t="s">
        <v>92</v>
      </c>
      <c r="D68" s="29"/>
      <c r="E68" s="34">
        <v>4</v>
      </c>
      <c r="F68" s="34">
        <v>0</v>
      </c>
      <c r="G68" s="34">
        <v>0</v>
      </c>
      <c r="H68" s="34">
        <v>0</v>
      </c>
      <c r="I68" s="37">
        <v>4.4999999999999998E-2</v>
      </c>
      <c r="J68" s="38">
        <f t="shared" ref="J68:J73" si="22">SUM(E68:I68)</f>
        <v>4.0449999999999999</v>
      </c>
      <c r="K68" s="94"/>
    </row>
    <row r="69" spans="3:11" x14ac:dyDescent="0.25">
      <c r="C69" s="153"/>
      <c r="D69" s="25" t="s">
        <v>31</v>
      </c>
      <c r="E69" s="26">
        <v>0</v>
      </c>
      <c r="F69" s="26">
        <v>3</v>
      </c>
      <c r="G69" s="26">
        <v>0</v>
      </c>
      <c r="H69" s="26">
        <v>7</v>
      </c>
      <c r="I69" s="37">
        <v>0.114</v>
      </c>
      <c r="J69" s="38">
        <f t="shared" si="22"/>
        <v>10.114000000000001</v>
      </c>
      <c r="K69" s="94"/>
    </row>
    <row r="70" spans="3:11" x14ac:dyDescent="0.25">
      <c r="C70" s="153"/>
      <c r="D70" s="25" t="s">
        <v>32</v>
      </c>
      <c r="E70" s="26">
        <v>0</v>
      </c>
      <c r="F70" s="26">
        <v>2</v>
      </c>
      <c r="G70" s="26">
        <v>3</v>
      </c>
      <c r="H70" s="26">
        <v>20</v>
      </c>
      <c r="I70" s="37">
        <v>0.28399999999999997</v>
      </c>
      <c r="J70" s="38">
        <f t="shared" si="22"/>
        <v>25.283999999999999</v>
      </c>
      <c r="K70" s="94"/>
    </row>
    <row r="71" spans="3:11" x14ac:dyDescent="0.25">
      <c r="C71" s="153"/>
      <c r="D71" s="25" t="s">
        <v>33</v>
      </c>
      <c r="E71" s="26">
        <v>0</v>
      </c>
      <c r="F71" s="26">
        <v>3</v>
      </c>
      <c r="G71" s="26">
        <v>10</v>
      </c>
      <c r="H71" s="26">
        <v>1</v>
      </c>
      <c r="I71" s="37">
        <v>0.159</v>
      </c>
      <c r="J71" s="38">
        <f t="shared" si="22"/>
        <v>14.159000000000001</v>
      </c>
      <c r="K71" s="94"/>
    </row>
    <row r="72" spans="3:11" x14ac:dyDescent="0.25">
      <c r="C72" s="153"/>
      <c r="D72" s="25" t="s">
        <v>34</v>
      </c>
      <c r="E72" s="26">
        <v>0</v>
      </c>
      <c r="F72" s="26">
        <v>1</v>
      </c>
      <c r="G72" s="26">
        <v>2</v>
      </c>
      <c r="H72" s="26">
        <v>4</v>
      </c>
      <c r="I72" s="37">
        <v>0.08</v>
      </c>
      <c r="J72" s="38">
        <f t="shared" si="22"/>
        <v>7.08</v>
      </c>
      <c r="K72" s="94"/>
    </row>
    <row r="73" spans="3:11" x14ac:dyDescent="0.25">
      <c r="C73" s="130"/>
      <c r="D73" s="25" t="s">
        <v>35</v>
      </c>
      <c r="E73" s="26">
        <v>0</v>
      </c>
      <c r="F73" s="26">
        <v>5</v>
      </c>
      <c r="G73" s="26">
        <v>12</v>
      </c>
      <c r="H73" s="26">
        <v>11</v>
      </c>
      <c r="I73" s="37">
        <v>0.318</v>
      </c>
      <c r="J73" s="38">
        <f t="shared" si="22"/>
        <v>28.318000000000001</v>
      </c>
      <c r="K73" s="94"/>
    </row>
    <row r="74" spans="3:11" ht="15.75" thickBot="1" x14ac:dyDescent="0.3">
      <c r="C74" s="164" t="s">
        <v>7</v>
      </c>
      <c r="D74" s="165"/>
      <c r="E74" s="30">
        <f>SUM(E68:E73)</f>
        <v>4</v>
      </c>
      <c r="F74" s="30">
        <f t="shared" ref="F74" si="23">SUM(F68:F73)</f>
        <v>14</v>
      </c>
      <c r="G74" s="30">
        <f t="shared" ref="G74" si="24">SUM(G68:G73)</f>
        <v>27</v>
      </c>
      <c r="H74" s="30">
        <f t="shared" ref="H74" si="25">SUM(H68:H73)</f>
        <v>43</v>
      </c>
      <c r="I74" s="99">
        <f t="shared" ref="I74" si="26">SUM(I68:I73)</f>
        <v>1</v>
      </c>
      <c r="J74" s="30">
        <v>88</v>
      </c>
    </row>
    <row r="77" spans="3:11" ht="15.75" customHeight="1" thickBot="1" x14ac:dyDescent="0.3">
      <c r="C77" s="154" t="s">
        <v>202</v>
      </c>
      <c r="D77" s="154"/>
      <c r="E77" s="154"/>
      <c r="F77" s="154"/>
      <c r="G77" s="154"/>
      <c r="H77" s="154"/>
      <c r="I77" s="154"/>
      <c r="J77" s="154"/>
    </row>
    <row r="78" spans="3:11" ht="15" customHeight="1" x14ac:dyDescent="0.25">
      <c r="C78" s="155" t="s">
        <v>0</v>
      </c>
      <c r="D78" s="156"/>
      <c r="E78" s="159" t="s">
        <v>169</v>
      </c>
      <c r="F78" s="160"/>
      <c r="G78" s="160"/>
      <c r="H78" s="161"/>
      <c r="I78" s="146" t="s">
        <v>59</v>
      </c>
      <c r="J78" s="162" t="s">
        <v>7</v>
      </c>
    </row>
    <row r="79" spans="3:11" ht="24.75" thickBot="1" x14ac:dyDescent="0.3">
      <c r="C79" s="157"/>
      <c r="D79" s="158"/>
      <c r="E79" s="93" t="s">
        <v>47</v>
      </c>
      <c r="F79" s="93" t="s">
        <v>4</v>
      </c>
      <c r="G79" s="93" t="s">
        <v>5</v>
      </c>
      <c r="H79" s="93" t="s">
        <v>6</v>
      </c>
      <c r="I79" s="147"/>
      <c r="J79" s="163"/>
    </row>
    <row r="80" spans="3:11" ht="15" customHeight="1" x14ac:dyDescent="0.25">
      <c r="C80" s="152" t="s">
        <v>89</v>
      </c>
      <c r="D80" s="29"/>
      <c r="E80" s="34">
        <v>4</v>
      </c>
      <c r="F80" s="34">
        <v>0</v>
      </c>
      <c r="G80" s="34">
        <v>0</v>
      </c>
      <c r="H80" s="34">
        <v>0</v>
      </c>
      <c r="I80" s="37">
        <v>4.4999999999999998E-2</v>
      </c>
      <c r="J80" s="38">
        <f t="shared" ref="J80:J85" si="27">SUM(E80:I80)</f>
        <v>4.0449999999999999</v>
      </c>
      <c r="K80" s="94"/>
    </row>
    <row r="81" spans="3:11" x14ac:dyDescent="0.25">
      <c r="C81" s="153"/>
      <c r="D81" s="25" t="s">
        <v>31</v>
      </c>
      <c r="E81" s="26">
        <v>0</v>
      </c>
      <c r="F81" s="26">
        <v>2</v>
      </c>
      <c r="G81" s="26">
        <v>6</v>
      </c>
      <c r="H81" s="26">
        <v>1</v>
      </c>
      <c r="I81" s="37">
        <v>0.10199999999999999</v>
      </c>
      <c r="J81" s="38">
        <f t="shared" si="27"/>
        <v>9.1020000000000003</v>
      </c>
      <c r="K81" s="94"/>
    </row>
    <row r="82" spans="3:11" x14ac:dyDescent="0.25">
      <c r="C82" s="153"/>
      <c r="D82" s="25" t="s">
        <v>32</v>
      </c>
      <c r="E82" s="26">
        <v>0</v>
      </c>
      <c r="F82" s="26">
        <v>3</v>
      </c>
      <c r="G82" s="26">
        <v>6</v>
      </c>
      <c r="H82" s="26">
        <v>9</v>
      </c>
      <c r="I82" s="37">
        <v>0.20499999999999999</v>
      </c>
      <c r="J82" s="38">
        <f t="shared" si="27"/>
        <v>18.204999999999998</v>
      </c>
      <c r="K82" s="94"/>
    </row>
    <row r="83" spans="3:11" x14ac:dyDescent="0.25">
      <c r="C83" s="153"/>
      <c r="D83" s="25" t="s">
        <v>33</v>
      </c>
      <c r="E83" s="26">
        <v>0</v>
      </c>
      <c r="F83" s="26">
        <v>3</v>
      </c>
      <c r="G83" s="26">
        <v>2</v>
      </c>
      <c r="H83" s="26">
        <v>2</v>
      </c>
      <c r="I83" s="37">
        <v>0.08</v>
      </c>
      <c r="J83" s="38">
        <f t="shared" si="27"/>
        <v>7.08</v>
      </c>
      <c r="K83" s="94"/>
    </row>
    <row r="84" spans="3:11" x14ac:dyDescent="0.25">
      <c r="C84" s="153"/>
      <c r="D84" s="25" t="s">
        <v>34</v>
      </c>
      <c r="E84" s="26">
        <v>0</v>
      </c>
      <c r="F84" s="26">
        <v>2</v>
      </c>
      <c r="G84" s="26">
        <v>5</v>
      </c>
      <c r="H84" s="26">
        <v>21</v>
      </c>
      <c r="I84" s="37">
        <v>0.318</v>
      </c>
      <c r="J84" s="38">
        <f t="shared" si="27"/>
        <v>28.318000000000001</v>
      </c>
      <c r="K84" s="94"/>
    </row>
    <row r="85" spans="3:11" x14ac:dyDescent="0.25">
      <c r="C85" s="130"/>
      <c r="D85" s="25" t="s">
        <v>35</v>
      </c>
      <c r="E85" s="26">
        <v>0</v>
      </c>
      <c r="F85" s="26">
        <v>4</v>
      </c>
      <c r="G85" s="26">
        <v>8</v>
      </c>
      <c r="H85" s="26">
        <v>10</v>
      </c>
      <c r="I85" s="37">
        <v>0.25</v>
      </c>
      <c r="J85" s="38">
        <f t="shared" si="27"/>
        <v>22.25</v>
      </c>
      <c r="K85" s="94"/>
    </row>
    <row r="86" spans="3:11" ht="15.75" thickBot="1" x14ac:dyDescent="0.3">
      <c r="C86" s="164" t="s">
        <v>7</v>
      </c>
      <c r="D86" s="165"/>
      <c r="E86" s="30">
        <f>SUM(E80:E85)</f>
        <v>4</v>
      </c>
      <c r="F86" s="30">
        <f t="shared" ref="F86" si="28">SUM(F80:F85)</f>
        <v>14</v>
      </c>
      <c r="G86" s="30">
        <f t="shared" ref="G86" si="29">SUM(G80:G85)</f>
        <v>27</v>
      </c>
      <c r="H86" s="30">
        <f t="shared" ref="H86" si="30">SUM(H80:H85)</f>
        <v>43</v>
      </c>
      <c r="I86" s="99">
        <f t="shared" ref="I86" si="31">SUM(I80:I85)</f>
        <v>1</v>
      </c>
      <c r="J86" s="30">
        <v>88</v>
      </c>
    </row>
    <row r="89" spans="3:11" ht="15.75" customHeight="1" thickBot="1" x14ac:dyDescent="0.3">
      <c r="C89" s="154" t="s">
        <v>203</v>
      </c>
      <c r="D89" s="154"/>
      <c r="E89" s="154"/>
      <c r="F89" s="154"/>
      <c r="G89" s="154"/>
      <c r="H89" s="154"/>
      <c r="I89" s="154"/>
      <c r="J89" s="154"/>
    </row>
    <row r="90" spans="3:11" ht="15" customHeight="1" x14ac:dyDescent="0.25">
      <c r="C90" s="155" t="s">
        <v>0</v>
      </c>
      <c r="D90" s="156"/>
      <c r="E90" s="159" t="s">
        <v>169</v>
      </c>
      <c r="F90" s="160"/>
      <c r="G90" s="160"/>
      <c r="H90" s="161"/>
      <c r="I90" s="146" t="s">
        <v>59</v>
      </c>
      <c r="J90" s="162" t="s">
        <v>7</v>
      </c>
    </row>
    <row r="91" spans="3:11" ht="24.75" thickBot="1" x14ac:dyDescent="0.3">
      <c r="C91" s="157"/>
      <c r="D91" s="158"/>
      <c r="E91" s="93" t="s">
        <v>47</v>
      </c>
      <c r="F91" s="93" t="s">
        <v>4</v>
      </c>
      <c r="G91" s="93" t="s">
        <v>5</v>
      </c>
      <c r="H91" s="93" t="s">
        <v>6</v>
      </c>
      <c r="I91" s="147"/>
      <c r="J91" s="163"/>
    </row>
    <row r="92" spans="3:11" ht="15" customHeight="1" x14ac:dyDescent="0.25">
      <c r="C92" s="152" t="s">
        <v>88</v>
      </c>
      <c r="D92" s="29"/>
      <c r="E92" s="34">
        <v>4</v>
      </c>
      <c r="F92" s="34">
        <v>0</v>
      </c>
      <c r="G92" s="34">
        <v>0</v>
      </c>
      <c r="H92" s="34">
        <v>0</v>
      </c>
      <c r="I92" s="37">
        <v>4.4999999999999998E-2</v>
      </c>
      <c r="J92" s="38">
        <f t="shared" ref="J92:J97" si="32">SUM(E92:I92)</f>
        <v>4.0449999999999999</v>
      </c>
      <c r="K92" s="94"/>
    </row>
    <row r="93" spans="3:11" x14ac:dyDescent="0.25">
      <c r="C93" s="153"/>
      <c r="D93" s="25" t="s">
        <v>31</v>
      </c>
      <c r="E93" s="26">
        <v>0</v>
      </c>
      <c r="F93" s="26">
        <v>4</v>
      </c>
      <c r="G93" s="26">
        <v>3</v>
      </c>
      <c r="H93" s="26">
        <v>5</v>
      </c>
      <c r="I93" s="37">
        <v>0.13600000000000001</v>
      </c>
      <c r="J93" s="38">
        <f t="shared" si="32"/>
        <v>12.135999999999999</v>
      </c>
      <c r="K93" s="94"/>
    </row>
    <row r="94" spans="3:11" x14ac:dyDescent="0.25">
      <c r="C94" s="153"/>
      <c r="D94" s="25" t="s">
        <v>32</v>
      </c>
      <c r="E94" s="26">
        <v>0</v>
      </c>
      <c r="F94" s="26">
        <v>7</v>
      </c>
      <c r="G94" s="26">
        <v>21</v>
      </c>
      <c r="H94" s="26">
        <v>26</v>
      </c>
      <c r="I94" s="37">
        <v>0.61399999999999999</v>
      </c>
      <c r="J94" s="38">
        <f t="shared" si="32"/>
        <v>54.613999999999997</v>
      </c>
      <c r="K94" s="94"/>
    </row>
    <row r="95" spans="3:11" x14ac:dyDescent="0.25">
      <c r="C95" s="153"/>
      <c r="D95" s="25" t="s">
        <v>33</v>
      </c>
      <c r="E95" s="26">
        <v>0</v>
      </c>
      <c r="F95" s="26">
        <v>0</v>
      </c>
      <c r="G95" s="26">
        <v>2</v>
      </c>
      <c r="H95" s="26">
        <v>2</v>
      </c>
      <c r="I95" s="37">
        <v>4.4999999999999998E-2</v>
      </c>
      <c r="J95" s="38">
        <f t="shared" si="32"/>
        <v>4.0449999999999999</v>
      </c>
      <c r="K95" s="94"/>
    </row>
    <row r="96" spans="3:11" x14ac:dyDescent="0.25">
      <c r="C96" s="153"/>
      <c r="D96" s="25" t="s">
        <v>34</v>
      </c>
      <c r="E96" s="26">
        <v>0</v>
      </c>
      <c r="F96" s="26">
        <v>2</v>
      </c>
      <c r="G96" s="26">
        <v>1</v>
      </c>
      <c r="H96" s="26">
        <v>2</v>
      </c>
      <c r="I96" s="37">
        <v>5.7000000000000002E-2</v>
      </c>
      <c r="J96" s="38">
        <f t="shared" si="32"/>
        <v>5.0570000000000004</v>
      </c>
      <c r="K96" s="94"/>
    </row>
    <row r="97" spans="3:11" x14ac:dyDescent="0.25">
      <c r="C97" s="130"/>
      <c r="D97" s="25" t="s">
        <v>35</v>
      </c>
      <c r="E97" s="26">
        <v>0</v>
      </c>
      <c r="F97" s="26">
        <v>1</v>
      </c>
      <c r="G97" s="26">
        <v>0</v>
      </c>
      <c r="H97" s="26">
        <v>8</v>
      </c>
      <c r="I97" s="37">
        <v>0.10299999999999999</v>
      </c>
      <c r="J97" s="38">
        <f t="shared" si="32"/>
        <v>9.1029999999999998</v>
      </c>
      <c r="K97" s="94"/>
    </row>
    <row r="98" spans="3:11" ht="15.75" thickBot="1" x14ac:dyDescent="0.3">
      <c r="C98" s="164" t="s">
        <v>7</v>
      </c>
      <c r="D98" s="165"/>
      <c r="E98" s="30">
        <f>SUM(E92:E97)</f>
        <v>4</v>
      </c>
      <c r="F98" s="30">
        <f t="shared" ref="F98" si="33">SUM(F92:F97)</f>
        <v>14</v>
      </c>
      <c r="G98" s="30">
        <f t="shared" ref="G98" si="34">SUM(G92:G97)</f>
        <v>27</v>
      </c>
      <c r="H98" s="30">
        <f t="shared" ref="H98" si="35">SUM(H92:H97)</f>
        <v>43</v>
      </c>
      <c r="I98" s="99">
        <f t="shared" ref="I98" si="36">SUM(I92:I97)</f>
        <v>1</v>
      </c>
      <c r="J98" s="30">
        <v>88</v>
      </c>
    </row>
  </sheetData>
  <mergeCells count="57">
    <mergeCell ref="C92:C97"/>
    <mergeCell ref="C98:D98"/>
    <mergeCell ref="C2:K2"/>
    <mergeCell ref="C80:C85"/>
    <mergeCell ref="C86:D86"/>
    <mergeCell ref="C89:J89"/>
    <mergeCell ref="C90:D91"/>
    <mergeCell ref="E90:H90"/>
    <mergeCell ref="I90:I91"/>
    <mergeCell ref="J90:J91"/>
    <mergeCell ref="C68:C73"/>
    <mergeCell ref="C74:D74"/>
    <mergeCell ref="C77:J77"/>
    <mergeCell ref="C78:D79"/>
    <mergeCell ref="E78:H78"/>
    <mergeCell ref="I78:I79"/>
    <mergeCell ref="J78:J79"/>
    <mergeCell ref="C56:C61"/>
    <mergeCell ref="C62:D62"/>
    <mergeCell ref="C65:J65"/>
    <mergeCell ref="C66:D67"/>
    <mergeCell ref="E66:H66"/>
    <mergeCell ref="I66:I67"/>
    <mergeCell ref="J66:J67"/>
    <mergeCell ref="C44:C49"/>
    <mergeCell ref="C50:D50"/>
    <mergeCell ref="C53:J53"/>
    <mergeCell ref="C54:D55"/>
    <mergeCell ref="E54:H54"/>
    <mergeCell ref="I54:I55"/>
    <mergeCell ref="J54:J55"/>
    <mergeCell ref="C32:C37"/>
    <mergeCell ref="C38:D38"/>
    <mergeCell ref="C41:J41"/>
    <mergeCell ref="C42:D43"/>
    <mergeCell ref="E42:H42"/>
    <mergeCell ref="I42:I43"/>
    <mergeCell ref="J42:J43"/>
    <mergeCell ref="C20:C25"/>
    <mergeCell ref="C26:D26"/>
    <mergeCell ref="C29:J29"/>
    <mergeCell ref="C30:D31"/>
    <mergeCell ref="E30:H30"/>
    <mergeCell ref="I30:I31"/>
    <mergeCell ref="J30:J31"/>
    <mergeCell ref="C14:D14"/>
    <mergeCell ref="C17:J17"/>
    <mergeCell ref="C18:D19"/>
    <mergeCell ref="E18:H18"/>
    <mergeCell ref="I18:I19"/>
    <mergeCell ref="J18:J19"/>
    <mergeCell ref="C8:C13"/>
    <mergeCell ref="C5:J5"/>
    <mergeCell ref="C6:D7"/>
    <mergeCell ref="E6:H6"/>
    <mergeCell ref="I6:I7"/>
    <mergeCell ref="J6:J7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N106"/>
  <sheetViews>
    <sheetView topLeftCell="D1" zoomScaleNormal="100" workbookViewId="0">
      <selection activeCell="N8" sqref="N8"/>
    </sheetView>
  </sheetViews>
  <sheetFormatPr defaultRowHeight="15" x14ac:dyDescent="0.25"/>
  <cols>
    <col min="5" max="5" width="18.85546875" customWidth="1"/>
    <col min="6" max="6" width="34" customWidth="1"/>
    <col min="10" max="10" width="13.85546875" customWidth="1"/>
  </cols>
  <sheetData>
    <row r="3" spans="4:14" ht="18" x14ac:dyDescent="0.25">
      <c r="D3" s="144" t="s">
        <v>103</v>
      </c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5" spans="4:14" x14ac:dyDescent="0.25">
      <c r="E5" s="166" t="s">
        <v>112</v>
      </c>
      <c r="F5" s="166"/>
      <c r="G5" s="166"/>
      <c r="H5" s="166"/>
      <c r="I5" s="166"/>
      <c r="J5" s="166"/>
      <c r="K5" s="166"/>
      <c r="L5" s="60"/>
    </row>
    <row r="6" spans="4:14" x14ac:dyDescent="0.25">
      <c r="E6" s="167" t="s">
        <v>0</v>
      </c>
      <c r="F6" s="167"/>
      <c r="G6" s="167" t="s">
        <v>25</v>
      </c>
      <c r="H6" s="167"/>
      <c r="I6" s="167"/>
      <c r="J6" s="169" t="s">
        <v>59</v>
      </c>
      <c r="K6" s="167" t="s">
        <v>7</v>
      </c>
      <c r="L6" s="60"/>
    </row>
    <row r="7" spans="4:14" x14ac:dyDescent="0.25">
      <c r="E7" s="167"/>
      <c r="F7" s="167"/>
      <c r="G7" s="61" t="s">
        <v>0</v>
      </c>
      <c r="H7" s="61" t="s">
        <v>8</v>
      </c>
      <c r="I7" s="61" t="s">
        <v>9</v>
      </c>
      <c r="J7" s="170"/>
      <c r="K7" s="167"/>
      <c r="L7" s="60"/>
    </row>
    <row r="8" spans="4:14" x14ac:dyDescent="0.25">
      <c r="E8" s="167" t="s">
        <v>113</v>
      </c>
      <c r="F8" s="61" t="s">
        <v>0</v>
      </c>
      <c r="G8" s="62">
        <v>4</v>
      </c>
      <c r="H8" s="62">
        <v>0</v>
      </c>
      <c r="I8" s="62">
        <v>0</v>
      </c>
      <c r="J8" s="69">
        <v>4.4999999999999998E-2</v>
      </c>
      <c r="K8" s="63">
        <v>4</v>
      </c>
      <c r="L8" s="60"/>
    </row>
    <row r="9" spans="4:14" x14ac:dyDescent="0.25">
      <c r="E9" s="167"/>
      <c r="F9" s="61" t="s">
        <v>8</v>
      </c>
      <c r="G9" s="62">
        <v>0</v>
      </c>
      <c r="H9" s="62">
        <v>4</v>
      </c>
      <c r="I9" s="62">
        <v>7</v>
      </c>
      <c r="J9" s="69">
        <v>0.125</v>
      </c>
      <c r="K9" s="63">
        <v>11</v>
      </c>
      <c r="L9" s="60"/>
    </row>
    <row r="10" spans="4:14" x14ac:dyDescent="0.25">
      <c r="E10" s="167"/>
      <c r="F10" s="61" t="s">
        <v>21</v>
      </c>
      <c r="G10" s="62">
        <v>0</v>
      </c>
      <c r="H10" s="62">
        <v>17</v>
      </c>
      <c r="I10" s="62">
        <v>8</v>
      </c>
      <c r="J10" s="69">
        <v>0.28399999999999997</v>
      </c>
      <c r="K10" s="63">
        <v>25</v>
      </c>
      <c r="L10" s="60"/>
    </row>
    <row r="11" spans="4:14" x14ac:dyDescent="0.25">
      <c r="E11" s="167"/>
      <c r="F11" s="61" t="s">
        <v>104</v>
      </c>
      <c r="G11" s="62">
        <v>0</v>
      </c>
      <c r="H11" s="62">
        <v>15</v>
      </c>
      <c r="I11" s="62">
        <v>6</v>
      </c>
      <c r="J11" s="69">
        <v>0.23899999999999999</v>
      </c>
      <c r="K11" s="63">
        <v>21</v>
      </c>
      <c r="L11" s="60"/>
    </row>
    <row r="12" spans="4:14" x14ac:dyDescent="0.25">
      <c r="E12" s="167"/>
      <c r="F12" s="61" t="s">
        <v>11</v>
      </c>
      <c r="G12" s="62">
        <v>0</v>
      </c>
      <c r="H12" s="62">
        <v>20</v>
      </c>
      <c r="I12" s="62">
        <v>7</v>
      </c>
      <c r="J12" s="69">
        <v>0.307</v>
      </c>
      <c r="K12" s="63">
        <v>27</v>
      </c>
      <c r="L12" s="60"/>
    </row>
    <row r="13" spans="4:14" x14ac:dyDescent="0.25">
      <c r="E13" s="168" t="s">
        <v>7</v>
      </c>
      <c r="F13" s="168"/>
      <c r="G13" s="64">
        <v>4</v>
      </c>
      <c r="H13" s="64">
        <v>56</v>
      </c>
      <c r="I13" s="64">
        <v>28</v>
      </c>
      <c r="J13" s="68">
        <f>SUM(J8:J12)</f>
        <v>1</v>
      </c>
      <c r="K13" s="64">
        <v>88</v>
      </c>
      <c r="L13" s="60"/>
    </row>
    <row r="14" spans="4:14" x14ac:dyDescent="0.25">
      <c r="E14" s="60"/>
      <c r="F14" s="60"/>
      <c r="G14" s="60"/>
      <c r="H14" s="60"/>
      <c r="I14" s="60"/>
      <c r="J14" s="60"/>
      <c r="K14" s="60"/>
      <c r="L14" s="60"/>
    </row>
    <row r="15" spans="4:14" x14ac:dyDescent="0.25">
      <c r="E15" s="166" t="s">
        <v>114</v>
      </c>
      <c r="F15" s="166"/>
      <c r="G15" s="166"/>
      <c r="H15" s="166"/>
      <c r="I15" s="166"/>
      <c r="J15" s="166"/>
      <c r="K15" s="166"/>
      <c r="L15" s="60"/>
    </row>
    <row r="16" spans="4:14" x14ac:dyDescent="0.25">
      <c r="E16" s="167" t="s">
        <v>0</v>
      </c>
      <c r="F16" s="167"/>
      <c r="G16" s="167" t="s">
        <v>25</v>
      </c>
      <c r="H16" s="167"/>
      <c r="I16" s="167"/>
      <c r="J16" s="169" t="s">
        <v>59</v>
      </c>
      <c r="K16" s="167" t="s">
        <v>7</v>
      </c>
      <c r="L16" s="60"/>
    </row>
    <row r="17" spans="5:12" x14ac:dyDescent="0.25">
      <c r="E17" s="167"/>
      <c r="F17" s="167"/>
      <c r="G17" s="61" t="s">
        <v>0</v>
      </c>
      <c r="H17" s="61" t="s">
        <v>8</v>
      </c>
      <c r="I17" s="61" t="s">
        <v>9</v>
      </c>
      <c r="J17" s="170"/>
      <c r="K17" s="167"/>
      <c r="L17" s="60"/>
    </row>
    <row r="18" spans="5:12" x14ac:dyDescent="0.25">
      <c r="E18" s="167" t="s">
        <v>123</v>
      </c>
      <c r="F18" s="61" t="s">
        <v>0</v>
      </c>
      <c r="G18" s="62">
        <v>4</v>
      </c>
      <c r="H18" s="62">
        <v>0</v>
      </c>
      <c r="I18" s="62">
        <v>0</v>
      </c>
      <c r="J18" s="69">
        <v>4.4999999999999998E-2</v>
      </c>
      <c r="K18" s="63">
        <v>4</v>
      </c>
      <c r="L18" s="60"/>
    </row>
    <row r="19" spans="5:12" x14ac:dyDescent="0.25">
      <c r="E19" s="167"/>
      <c r="F19" s="61" t="s">
        <v>8</v>
      </c>
      <c r="G19" s="62">
        <v>0</v>
      </c>
      <c r="H19" s="62">
        <v>7</v>
      </c>
      <c r="I19" s="62">
        <v>6</v>
      </c>
      <c r="J19" s="69">
        <v>0.14799999999999999</v>
      </c>
      <c r="K19" s="63">
        <v>13</v>
      </c>
      <c r="L19" s="60"/>
    </row>
    <row r="20" spans="5:12" x14ac:dyDescent="0.25">
      <c r="E20" s="167"/>
      <c r="F20" s="61" t="s">
        <v>21</v>
      </c>
      <c r="G20" s="62">
        <v>0</v>
      </c>
      <c r="H20" s="62">
        <v>21</v>
      </c>
      <c r="I20" s="62">
        <v>11</v>
      </c>
      <c r="J20" s="69">
        <v>0.36399999999999999</v>
      </c>
      <c r="K20" s="63">
        <v>32</v>
      </c>
      <c r="L20" s="60"/>
    </row>
    <row r="21" spans="5:12" x14ac:dyDescent="0.25">
      <c r="E21" s="167"/>
      <c r="F21" s="61" t="s">
        <v>104</v>
      </c>
      <c r="G21" s="62">
        <v>0</v>
      </c>
      <c r="H21" s="62">
        <v>15</v>
      </c>
      <c r="I21" s="62">
        <v>8</v>
      </c>
      <c r="J21" s="69">
        <v>0.26100000000000001</v>
      </c>
      <c r="K21" s="63">
        <v>23</v>
      </c>
      <c r="L21" s="60"/>
    </row>
    <row r="22" spans="5:12" x14ac:dyDescent="0.25">
      <c r="E22" s="167"/>
      <c r="F22" s="61" t="s">
        <v>11</v>
      </c>
      <c r="G22" s="62">
        <v>0</v>
      </c>
      <c r="H22" s="62">
        <v>13</v>
      </c>
      <c r="I22" s="62">
        <v>3</v>
      </c>
      <c r="J22" s="69">
        <v>0.182</v>
      </c>
      <c r="K22" s="63">
        <v>16</v>
      </c>
      <c r="L22" s="60"/>
    </row>
    <row r="23" spans="5:12" x14ac:dyDescent="0.25">
      <c r="E23" s="168" t="s">
        <v>7</v>
      </c>
      <c r="F23" s="168"/>
      <c r="G23" s="64">
        <v>4</v>
      </c>
      <c r="H23" s="64">
        <v>56</v>
      </c>
      <c r="I23" s="64">
        <v>28</v>
      </c>
      <c r="J23" s="68">
        <f>SUM(J18:J22)</f>
        <v>1</v>
      </c>
      <c r="K23" s="64">
        <v>88</v>
      </c>
      <c r="L23" s="60"/>
    </row>
    <row r="24" spans="5:12" x14ac:dyDescent="0.25">
      <c r="E24" s="60"/>
      <c r="F24" s="60"/>
      <c r="G24" s="60"/>
      <c r="H24" s="60"/>
      <c r="I24" s="60"/>
      <c r="J24" s="60"/>
      <c r="K24" s="60"/>
      <c r="L24" s="60"/>
    </row>
    <row r="25" spans="5:12" x14ac:dyDescent="0.25">
      <c r="E25" s="166" t="s">
        <v>115</v>
      </c>
      <c r="F25" s="166"/>
      <c r="G25" s="166"/>
      <c r="H25" s="166"/>
      <c r="I25" s="166"/>
      <c r="J25" s="166"/>
      <c r="K25" s="166"/>
      <c r="L25" s="60"/>
    </row>
    <row r="26" spans="5:12" x14ac:dyDescent="0.25">
      <c r="E26" s="167" t="s">
        <v>0</v>
      </c>
      <c r="F26" s="167"/>
      <c r="G26" s="167" t="s">
        <v>25</v>
      </c>
      <c r="H26" s="167"/>
      <c r="I26" s="167"/>
      <c r="J26" s="169" t="s">
        <v>59</v>
      </c>
      <c r="K26" s="167" t="s">
        <v>7</v>
      </c>
      <c r="L26" s="60"/>
    </row>
    <row r="27" spans="5:12" x14ac:dyDescent="0.25">
      <c r="E27" s="167"/>
      <c r="F27" s="167"/>
      <c r="G27" s="61" t="s">
        <v>0</v>
      </c>
      <c r="H27" s="61" t="s">
        <v>8</v>
      </c>
      <c r="I27" s="61" t="s">
        <v>9</v>
      </c>
      <c r="J27" s="170"/>
      <c r="K27" s="167"/>
      <c r="L27" s="60"/>
    </row>
    <row r="28" spans="5:12" x14ac:dyDescent="0.25">
      <c r="E28" s="167" t="s">
        <v>124</v>
      </c>
      <c r="F28" s="61" t="s">
        <v>0</v>
      </c>
      <c r="G28" s="62">
        <v>4</v>
      </c>
      <c r="H28" s="62">
        <v>0</v>
      </c>
      <c r="I28" s="62">
        <v>0</v>
      </c>
      <c r="J28" s="69">
        <v>4.4999999999999998E-2</v>
      </c>
      <c r="K28" s="63">
        <v>4</v>
      </c>
      <c r="L28" s="60"/>
    </row>
    <row r="29" spans="5:12" x14ac:dyDescent="0.25">
      <c r="E29" s="167"/>
      <c r="F29" s="61" t="s">
        <v>8</v>
      </c>
      <c r="G29" s="62">
        <v>0</v>
      </c>
      <c r="H29" s="62">
        <v>11</v>
      </c>
      <c r="I29" s="62">
        <v>4</v>
      </c>
      <c r="J29" s="69">
        <v>0.17100000000000001</v>
      </c>
      <c r="K29" s="63">
        <v>15</v>
      </c>
      <c r="L29" s="60"/>
    </row>
    <row r="30" spans="5:12" x14ac:dyDescent="0.25">
      <c r="E30" s="167"/>
      <c r="F30" s="61" t="s">
        <v>21</v>
      </c>
      <c r="G30" s="62">
        <v>0</v>
      </c>
      <c r="H30" s="62">
        <v>37</v>
      </c>
      <c r="I30" s="62">
        <v>18</v>
      </c>
      <c r="J30" s="69">
        <v>0.625</v>
      </c>
      <c r="K30" s="63">
        <v>55</v>
      </c>
      <c r="L30" s="60"/>
    </row>
    <row r="31" spans="5:12" x14ac:dyDescent="0.25">
      <c r="E31" s="167"/>
      <c r="F31" s="61" t="s">
        <v>104</v>
      </c>
      <c r="G31" s="62">
        <v>0</v>
      </c>
      <c r="H31" s="62">
        <v>3</v>
      </c>
      <c r="I31" s="62">
        <v>2</v>
      </c>
      <c r="J31" s="69">
        <v>5.7000000000000002E-2</v>
      </c>
      <c r="K31" s="63">
        <v>5</v>
      </c>
      <c r="L31" s="60"/>
    </row>
    <row r="32" spans="5:12" x14ac:dyDescent="0.25">
      <c r="E32" s="167"/>
      <c r="F32" s="61" t="s">
        <v>11</v>
      </c>
      <c r="G32" s="62">
        <v>0</v>
      </c>
      <c r="H32" s="62">
        <v>5</v>
      </c>
      <c r="I32" s="62">
        <v>4</v>
      </c>
      <c r="J32" s="69">
        <v>0.10199999999999999</v>
      </c>
      <c r="K32" s="63">
        <v>9</v>
      </c>
      <c r="L32" s="60"/>
    </row>
    <row r="33" spans="5:12" x14ac:dyDescent="0.25">
      <c r="E33" s="168" t="s">
        <v>7</v>
      </c>
      <c r="F33" s="168"/>
      <c r="G33" s="64">
        <v>4</v>
      </c>
      <c r="H33" s="64">
        <v>56</v>
      </c>
      <c r="I33" s="64">
        <v>28</v>
      </c>
      <c r="J33" s="68">
        <f>SUM(J28:J32)</f>
        <v>1</v>
      </c>
      <c r="K33" s="64">
        <v>88</v>
      </c>
      <c r="L33" s="60"/>
    </row>
    <row r="34" spans="5:12" x14ac:dyDescent="0.25">
      <c r="E34" s="60"/>
      <c r="F34" s="60"/>
      <c r="G34" s="60"/>
      <c r="H34" s="60"/>
      <c r="I34" s="60"/>
      <c r="J34" s="60"/>
      <c r="K34" s="60"/>
      <c r="L34" s="60"/>
    </row>
    <row r="35" spans="5:12" x14ac:dyDescent="0.25">
      <c r="E35" s="166" t="s">
        <v>116</v>
      </c>
      <c r="F35" s="166"/>
      <c r="G35" s="166"/>
      <c r="H35" s="166"/>
      <c r="I35" s="166"/>
      <c r="J35" s="166"/>
      <c r="K35" s="166"/>
      <c r="L35" s="60"/>
    </row>
    <row r="36" spans="5:12" x14ac:dyDescent="0.25">
      <c r="E36" s="167" t="s">
        <v>0</v>
      </c>
      <c r="F36" s="167"/>
      <c r="G36" s="167" t="s">
        <v>25</v>
      </c>
      <c r="H36" s="167"/>
      <c r="I36" s="167"/>
      <c r="J36" s="169" t="s">
        <v>59</v>
      </c>
      <c r="K36" s="167" t="s">
        <v>7</v>
      </c>
      <c r="L36" s="60"/>
    </row>
    <row r="37" spans="5:12" x14ac:dyDescent="0.25">
      <c r="E37" s="167"/>
      <c r="F37" s="167"/>
      <c r="G37" s="61" t="s">
        <v>0</v>
      </c>
      <c r="H37" s="61" t="s">
        <v>8</v>
      </c>
      <c r="I37" s="61" t="s">
        <v>9</v>
      </c>
      <c r="J37" s="170"/>
      <c r="K37" s="167"/>
      <c r="L37" s="60"/>
    </row>
    <row r="38" spans="5:12" x14ac:dyDescent="0.25">
      <c r="E38" s="167" t="s">
        <v>125</v>
      </c>
      <c r="F38" s="61" t="s">
        <v>0</v>
      </c>
      <c r="G38" s="62">
        <v>4</v>
      </c>
      <c r="H38" s="62">
        <v>0</v>
      </c>
      <c r="I38" s="62">
        <v>0</v>
      </c>
      <c r="J38" s="69">
        <v>4.4999999999999998E-2</v>
      </c>
      <c r="K38" s="63">
        <v>4</v>
      </c>
      <c r="L38" s="60"/>
    </row>
    <row r="39" spans="5:12" x14ac:dyDescent="0.25">
      <c r="E39" s="167"/>
      <c r="F39" s="61" t="s">
        <v>8</v>
      </c>
      <c r="G39" s="62">
        <v>0</v>
      </c>
      <c r="H39" s="62">
        <v>16</v>
      </c>
      <c r="I39" s="62">
        <v>6</v>
      </c>
      <c r="J39" s="69">
        <v>0.25</v>
      </c>
      <c r="K39" s="63">
        <v>22</v>
      </c>
      <c r="L39" s="60"/>
    </row>
    <row r="40" spans="5:12" x14ac:dyDescent="0.25">
      <c r="E40" s="167"/>
      <c r="F40" s="61" t="s">
        <v>21</v>
      </c>
      <c r="G40" s="62">
        <v>0</v>
      </c>
      <c r="H40" s="62">
        <v>18</v>
      </c>
      <c r="I40" s="62">
        <v>6</v>
      </c>
      <c r="J40" s="69">
        <v>0.27300000000000002</v>
      </c>
      <c r="K40" s="63">
        <v>24</v>
      </c>
      <c r="L40" s="60"/>
    </row>
    <row r="41" spans="5:12" x14ac:dyDescent="0.25">
      <c r="E41" s="167"/>
      <c r="F41" s="61" t="s">
        <v>104</v>
      </c>
      <c r="G41" s="62">
        <v>0</v>
      </c>
      <c r="H41" s="62">
        <v>18</v>
      </c>
      <c r="I41" s="62">
        <v>14</v>
      </c>
      <c r="J41" s="69">
        <v>0.36399999999999999</v>
      </c>
      <c r="K41" s="63">
        <v>32</v>
      </c>
      <c r="L41" s="60"/>
    </row>
    <row r="42" spans="5:12" x14ac:dyDescent="0.25">
      <c r="E42" s="167"/>
      <c r="F42" s="61" t="s">
        <v>11</v>
      </c>
      <c r="G42" s="62">
        <v>0</v>
      </c>
      <c r="H42" s="62">
        <v>4</v>
      </c>
      <c r="I42" s="62">
        <v>2</v>
      </c>
      <c r="J42" s="69">
        <v>6.8000000000000005E-2</v>
      </c>
      <c r="K42" s="63">
        <v>6</v>
      </c>
      <c r="L42" s="60"/>
    </row>
    <row r="43" spans="5:12" x14ac:dyDescent="0.25">
      <c r="E43" s="168" t="s">
        <v>7</v>
      </c>
      <c r="F43" s="168"/>
      <c r="G43" s="64">
        <v>4</v>
      </c>
      <c r="H43" s="64">
        <v>56</v>
      </c>
      <c r="I43" s="64">
        <v>28</v>
      </c>
      <c r="J43" s="68">
        <f>SUM(J38:J42)</f>
        <v>1</v>
      </c>
      <c r="K43" s="64">
        <v>88</v>
      </c>
      <c r="L43" s="60"/>
    </row>
    <row r="44" spans="5:12" x14ac:dyDescent="0.25">
      <c r="E44" s="60"/>
      <c r="F44" s="60"/>
      <c r="G44" s="60"/>
      <c r="H44" s="60"/>
      <c r="I44" s="60"/>
      <c r="J44" s="60"/>
      <c r="K44" s="60"/>
      <c r="L44" s="60"/>
    </row>
    <row r="45" spans="5:12" x14ac:dyDescent="0.25">
      <c r="E45" s="166" t="s">
        <v>117</v>
      </c>
      <c r="F45" s="166"/>
      <c r="G45" s="166"/>
      <c r="H45" s="166"/>
      <c r="I45" s="166"/>
      <c r="J45" s="166"/>
      <c r="K45" s="166"/>
      <c r="L45" s="60"/>
    </row>
    <row r="46" spans="5:12" x14ac:dyDescent="0.25">
      <c r="E46" s="167" t="s">
        <v>0</v>
      </c>
      <c r="F46" s="167"/>
      <c r="G46" s="167" t="s">
        <v>25</v>
      </c>
      <c r="H46" s="167"/>
      <c r="I46" s="167"/>
      <c r="J46" s="169" t="s">
        <v>59</v>
      </c>
      <c r="K46" s="167" t="s">
        <v>7</v>
      </c>
      <c r="L46" s="60"/>
    </row>
    <row r="47" spans="5:12" x14ac:dyDescent="0.25">
      <c r="E47" s="167"/>
      <c r="F47" s="167"/>
      <c r="G47" s="61" t="s">
        <v>0</v>
      </c>
      <c r="H47" s="61" t="s">
        <v>8</v>
      </c>
      <c r="I47" s="61" t="s">
        <v>9</v>
      </c>
      <c r="J47" s="170"/>
      <c r="K47" s="167"/>
      <c r="L47" s="60"/>
    </row>
    <row r="48" spans="5:12" x14ac:dyDescent="0.25">
      <c r="E48" s="167" t="s">
        <v>126</v>
      </c>
      <c r="F48" s="61" t="s">
        <v>0</v>
      </c>
      <c r="G48" s="62">
        <v>4</v>
      </c>
      <c r="H48" s="62">
        <v>0</v>
      </c>
      <c r="I48" s="62">
        <v>1</v>
      </c>
      <c r="J48" s="69">
        <v>5.7000000000000002E-2</v>
      </c>
      <c r="K48" s="63">
        <v>5</v>
      </c>
      <c r="L48" s="60"/>
    </row>
    <row r="49" spans="5:12" x14ac:dyDescent="0.25">
      <c r="E49" s="167"/>
      <c r="F49" s="61" t="s">
        <v>8</v>
      </c>
      <c r="G49" s="62">
        <v>0</v>
      </c>
      <c r="H49" s="62">
        <v>11</v>
      </c>
      <c r="I49" s="62">
        <v>5</v>
      </c>
      <c r="J49" s="69">
        <v>0.182</v>
      </c>
      <c r="K49" s="63">
        <v>16</v>
      </c>
      <c r="L49" s="60"/>
    </row>
    <row r="50" spans="5:12" x14ac:dyDescent="0.25">
      <c r="E50" s="167"/>
      <c r="F50" s="61" t="s">
        <v>21</v>
      </c>
      <c r="G50" s="62">
        <v>0</v>
      </c>
      <c r="H50" s="62">
        <v>22</v>
      </c>
      <c r="I50" s="62">
        <v>9</v>
      </c>
      <c r="J50" s="69">
        <v>0.35199999999999998</v>
      </c>
      <c r="K50" s="63">
        <v>31</v>
      </c>
      <c r="L50" s="60"/>
    </row>
    <row r="51" spans="5:12" x14ac:dyDescent="0.25">
      <c r="E51" s="167"/>
      <c r="F51" s="61" t="s">
        <v>104</v>
      </c>
      <c r="G51" s="62">
        <v>0</v>
      </c>
      <c r="H51" s="62">
        <v>8</v>
      </c>
      <c r="I51" s="62">
        <v>8</v>
      </c>
      <c r="J51" s="69">
        <v>0.182</v>
      </c>
      <c r="K51" s="63">
        <v>16</v>
      </c>
      <c r="L51" s="60"/>
    </row>
    <row r="52" spans="5:12" x14ac:dyDescent="0.25">
      <c r="E52" s="167"/>
      <c r="F52" s="61" t="s">
        <v>11</v>
      </c>
      <c r="G52" s="62">
        <v>0</v>
      </c>
      <c r="H52" s="62">
        <v>15</v>
      </c>
      <c r="I52" s="62">
        <v>5</v>
      </c>
      <c r="J52" s="69">
        <v>0.22700000000000001</v>
      </c>
      <c r="K52" s="63">
        <v>20</v>
      </c>
      <c r="L52" s="60"/>
    </row>
    <row r="53" spans="5:12" x14ac:dyDescent="0.25">
      <c r="E53" s="168" t="s">
        <v>7</v>
      </c>
      <c r="F53" s="168"/>
      <c r="G53" s="64">
        <v>4</v>
      </c>
      <c r="H53" s="64">
        <v>56</v>
      </c>
      <c r="I53" s="64">
        <v>28</v>
      </c>
      <c r="J53" s="68">
        <f>SUM(J48:J52)</f>
        <v>0.99999999999999989</v>
      </c>
      <c r="K53" s="64">
        <v>88</v>
      </c>
      <c r="L53" s="60"/>
    </row>
    <row r="54" spans="5:12" x14ac:dyDescent="0.25">
      <c r="E54" s="60"/>
      <c r="F54" s="60"/>
      <c r="G54" s="60"/>
      <c r="H54" s="60"/>
      <c r="I54" s="60"/>
      <c r="J54" s="60"/>
      <c r="K54" s="60"/>
      <c r="L54" s="60"/>
    </row>
    <row r="55" spans="5:12" x14ac:dyDescent="0.25">
      <c r="E55" s="166" t="s">
        <v>118</v>
      </c>
      <c r="F55" s="166"/>
      <c r="G55" s="166"/>
      <c r="H55" s="166"/>
      <c r="I55" s="166"/>
      <c r="J55" s="166"/>
      <c r="K55" s="166"/>
      <c r="L55" s="60"/>
    </row>
    <row r="56" spans="5:12" x14ac:dyDescent="0.25">
      <c r="E56" s="167" t="s">
        <v>0</v>
      </c>
      <c r="F56" s="167"/>
      <c r="G56" s="167" t="s">
        <v>25</v>
      </c>
      <c r="H56" s="167"/>
      <c r="I56" s="167"/>
      <c r="J56" s="169" t="s">
        <v>59</v>
      </c>
      <c r="K56" s="167" t="s">
        <v>7</v>
      </c>
      <c r="L56" s="60"/>
    </row>
    <row r="57" spans="5:12" x14ac:dyDescent="0.25">
      <c r="E57" s="167"/>
      <c r="F57" s="167"/>
      <c r="G57" s="61" t="s">
        <v>0</v>
      </c>
      <c r="H57" s="61" t="s">
        <v>8</v>
      </c>
      <c r="I57" s="61" t="s">
        <v>9</v>
      </c>
      <c r="J57" s="170"/>
      <c r="K57" s="167"/>
      <c r="L57" s="60"/>
    </row>
    <row r="58" spans="5:12" x14ac:dyDescent="0.25">
      <c r="E58" s="167" t="s">
        <v>127</v>
      </c>
      <c r="F58" s="61" t="s">
        <v>0</v>
      </c>
      <c r="G58" s="62">
        <v>4</v>
      </c>
      <c r="H58" s="62">
        <v>0</v>
      </c>
      <c r="I58" s="62">
        <v>0</v>
      </c>
      <c r="J58" s="69">
        <v>4.4999999999999998E-2</v>
      </c>
      <c r="K58" s="63">
        <v>4</v>
      </c>
      <c r="L58" s="60"/>
    </row>
    <row r="59" spans="5:12" x14ac:dyDescent="0.25">
      <c r="E59" s="167"/>
      <c r="F59" s="61" t="s">
        <v>8</v>
      </c>
      <c r="G59" s="62">
        <v>0</v>
      </c>
      <c r="H59" s="62">
        <v>2</v>
      </c>
      <c r="I59" s="62">
        <v>4</v>
      </c>
      <c r="J59" s="69">
        <v>6.8000000000000005E-2</v>
      </c>
      <c r="K59" s="63">
        <v>6</v>
      </c>
      <c r="L59" s="60"/>
    </row>
    <row r="60" spans="5:12" x14ac:dyDescent="0.25">
      <c r="E60" s="167"/>
      <c r="F60" s="61" t="s">
        <v>21</v>
      </c>
      <c r="G60" s="62">
        <v>0</v>
      </c>
      <c r="H60" s="62">
        <v>41</v>
      </c>
      <c r="I60" s="62">
        <v>18</v>
      </c>
      <c r="J60" s="69">
        <v>0.67100000000000004</v>
      </c>
      <c r="K60" s="63">
        <v>59</v>
      </c>
      <c r="L60" s="60"/>
    </row>
    <row r="61" spans="5:12" x14ac:dyDescent="0.25">
      <c r="E61" s="167"/>
      <c r="F61" s="61" t="s">
        <v>104</v>
      </c>
      <c r="G61" s="62">
        <v>0</v>
      </c>
      <c r="H61" s="62">
        <v>3</v>
      </c>
      <c r="I61" s="62">
        <v>2</v>
      </c>
      <c r="J61" s="69">
        <v>5.7000000000000002E-2</v>
      </c>
      <c r="K61" s="63">
        <v>5</v>
      </c>
      <c r="L61" s="60"/>
    </row>
    <row r="62" spans="5:12" x14ac:dyDescent="0.25">
      <c r="E62" s="167"/>
      <c r="F62" s="61" t="s">
        <v>11</v>
      </c>
      <c r="G62" s="62">
        <v>0</v>
      </c>
      <c r="H62" s="62">
        <v>10</v>
      </c>
      <c r="I62" s="62">
        <v>4</v>
      </c>
      <c r="J62" s="69">
        <v>0.159</v>
      </c>
      <c r="K62" s="63">
        <v>14</v>
      </c>
      <c r="L62" s="60"/>
    </row>
    <row r="63" spans="5:12" x14ac:dyDescent="0.25">
      <c r="E63" s="168" t="s">
        <v>7</v>
      </c>
      <c r="F63" s="168"/>
      <c r="G63" s="64">
        <v>4</v>
      </c>
      <c r="H63" s="64">
        <v>56</v>
      </c>
      <c r="I63" s="64">
        <v>28</v>
      </c>
      <c r="J63" s="68">
        <f>SUM(J58:J62)</f>
        <v>1</v>
      </c>
      <c r="K63" s="64">
        <v>88</v>
      </c>
      <c r="L63" s="60"/>
    </row>
    <row r="64" spans="5:12" x14ac:dyDescent="0.25">
      <c r="E64" s="60"/>
      <c r="F64" s="60"/>
      <c r="G64" s="60"/>
      <c r="H64" s="60"/>
      <c r="I64" s="60"/>
      <c r="J64" s="60"/>
      <c r="K64" s="60"/>
      <c r="L64" s="60"/>
    </row>
    <row r="65" spans="5:12" x14ac:dyDescent="0.25">
      <c r="E65" s="166" t="s">
        <v>119</v>
      </c>
      <c r="F65" s="166"/>
      <c r="G65" s="166"/>
      <c r="H65" s="166"/>
      <c r="I65" s="166"/>
      <c r="J65" s="166"/>
      <c r="K65" s="166"/>
      <c r="L65" s="60"/>
    </row>
    <row r="66" spans="5:12" x14ac:dyDescent="0.25">
      <c r="E66" s="167" t="s">
        <v>0</v>
      </c>
      <c r="F66" s="167"/>
      <c r="G66" s="167" t="s">
        <v>25</v>
      </c>
      <c r="H66" s="167"/>
      <c r="I66" s="167"/>
      <c r="J66" s="169" t="s">
        <v>59</v>
      </c>
      <c r="K66" s="167" t="s">
        <v>7</v>
      </c>
      <c r="L66" s="60"/>
    </row>
    <row r="67" spans="5:12" x14ac:dyDescent="0.25">
      <c r="E67" s="167"/>
      <c r="F67" s="167"/>
      <c r="G67" s="61" t="s">
        <v>0</v>
      </c>
      <c r="H67" s="61" t="s">
        <v>8</v>
      </c>
      <c r="I67" s="61" t="s">
        <v>9</v>
      </c>
      <c r="J67" s="170"/>
      <c r="K67" s="167"/>
      <c r="L67" s="60"/>
    </row>
    <row r="68" spans="5:12" x14ac:dyDescent="0.25">
      <c r="E68" s="167" t="s">
        <v>128</v>
      </c>
      <c r="F68" s="61" t="s">
        <v>0</v>
      </c>
      <c r="G68" s="62">
        <v>4</v>
      </c>
      <c r="H68" s="62">
        <v>1</v>
      </c>
      <c r="I68" s="62">
        <v>0</v>
      </c>
      <c r="J68" s="69">
        <v>5.7000000000000002E-2</v>
      </c>
      <c r="K68" s="63">
        <v>5</v>
      </c>
      <c r="L68" s="60"/>
    </row>
    <row r="69" spans="5:12" x14ac:dyDescent="0.25">
      <c r="E69" s="167"/>
      <c r="F69" s="61" t="s">
        <v>8</v>
      </c>
      <c r="G69" s="62">
        <v>0</v>
      </c>
      <c r="H69" s="62">
        <v>18</v>
      </c>
      <c r="I69" s="62">
        <v>12</v>
      </c>
      <c r="J69" s="69">
        <v>0.34100000000000003</v>
      </c>
      <c r="K69" s="63">
        <v>30</v>
      </c>
      <c r="L69" s="60"/>
    </row>
    <row r="70" spans="5:12" x14ac:dyDescent="0.25">
      <c r="E70" s="167"/>
      <c r="F70" s="61" t="s">
        <v>21</v>
      </c>
      <c r="G70" s="62">
        <v>0</v>
      </c>
      <c r="H70" s="62">
        <v>28</v>
      </c>
      <c r="I70" s="62">
        <v>9</v>
      </c>
      <c r="J70" s="69">
        <v>0.42099999999999999</v>
      </c>
      <c r="K70" s="63">
        <v>37</v>
      </c>
      <c r="L70" s="60"/>
    </row>
    <row r="71" spans="5:12" x14ac:dyDescent="0.25">
      <c r="E71" s="167"/>
      <c r="F71" s="61" t="s">
        <v>104</v>
      </c>
      <c r="G71" s="62">
        <v>0</v>
      </c>
      <c r="H71" s="62">
        <v>7</v>
      </c>
      <c r="I71" s="62">
        <v>5</v>
      </c>
      <c r="J71" s="69">
        <v>0.13600000000000001</v>
      </c>
      <c r="K71" s="63">
        <v>12</v>
      </c>
      <c r="L71" s="60"/>
    </row>
    <row r="72" spans="5:12" x14ac:dyDescent="0.25">
      <c r="E72" s="167"/>
      <c r="F72" s="61" t="s">
        <v>11</v>
      </c>
      <c r="G72" s="62">
        <v>0</v>
      </c>
      <c r="H72" s="62">
        <v>2</v>
      </c>
      <c r="I72" s="62">
        <v>2</v>
      </c>
      <c r="J72" s="69">
        <v>4.4999999999999998E-2</v>
      </c>
      <c r="K72" s="63">
        <v>4</v>
      </c>
      <c r="L72" s="60"/>
    </row>
    <row r="73" spans="5:12" x14ac:dyDescent="0.25">
      <c r="E73" s="168" t="s">
        <v>7</v>
      </c>
      <c r="F73" s="168"/>
      <c r="G73" s="64">
        <v>4</v>
      </c>
      <c r="H73" s="64">
        <v>56</v>
      </c>
      <c r="I73" s="64">
        <v>28</v>
      </c>
      <c r="J73" s="68">
        <f>SUM(J68:J72)</f>
        <v>1</v>
      </c>
      <c r="K73" s="64">
        <v>88</v>
      </c>
      <c r="L73" s="60"/>
    </row>
    <row r="74" spans="5:12" x14ac:dyDescent="0.25">
      <c r="E74" s="60"/>
      <c r="F74" s="60"/>
      <c r="G74" s="60"/>
      <c r="H74" s="60"/>
      <c r="I74" s="60"/>
      <c r="J74" s="60"/>
      <c r="K74" s="60"/>
      <c r="L74" s="60"/>
    </row>
    <row r="75" spans="5:12" x14ac:dyDescent="0.25">
      <c r="E75" s="166" t="s">
        <v>120</v>
      </c>
      <c r="F75" s="166"/>
      <c r="G75" s="166"/>
      <c r="H75" s="166"/>
      <c r="I75" s="166"/>
      <c r="J75" s="166"/>
      <c r="K75" s="166"/>
      <c r="L75" s="60"/>
    </row>
    <row r="76" spans="5:12" x14ac:dyDescent="0.25">
      <c r="E76" s="167" t="s">
        <v>0</v>
      </c>
      <c r="F76" s="167"/>
      <c r="G76" s="167" t="s">
        <v>25</v>
      </c>
      <c r="H76" s="167"/>
      <c r="I76" s="167"/>
      <c r="J76" s="169" t="s">
        <v>59</v>
      </c>
      <c r="K76" s="167" t="s">
        <v>7</v>
      </c>
      <c r="L76" s="60"/>
    </row>
    <row r="77" spans="5:12" x14ac:dyDescent="0.25">
      <c r="E77" s="167"/>
      <c r="F77" s="167"/>
      <c r="G77" s="61" t="s">
        <v>0</v>
      </c>
      <c r="H77" s="61" t="s">
        <v>8</v>
      </c>
      <c r="I77" s="61" t="s">
        <v>9</v>
      </c>
      <c r="J77" s="170"/>
      <c r="K77" s="167"/>
      <c r="L77" s="60"/>
    </row>
    <row r="78" spans="5:12" x14ac:dyDescent="0.25">
      <c r="E78" s="167" t="s">
        <v>129</v>
      </c>
      <c r="F78" s="61" t="s">
        <v>0</v>
      </c>
      <c r="G78" s="62">
        <v>4</v>
      </c>
      <c r="H78" s="62">
        <v>1</v>
      </c>
      <c r="I78" s="62">
        <v>0</v>
      </c>
      <c r="J78" s="69">
        <v>5.7000000000000002E-2</v>
      </c>
      <c r="K78" s="63">
        <v>5</v>
      </c>
      <c r="L78" s="60"/>
    </row>
    <row r="79" spans="5:12" x14ac:dyDescent="0.25">
      <c r="E79" s="167"/>
      <c r="F79" s="61" t="s">
        <v>8</v>
      </c>
      <c r="G79" s="62">
        <v>0</v>
      </c>
      <c r="H79" s="62">
        <v>22</v>
      </c>
      <c r="I79" s="62">
        <v>8</v>
      </c>
      <c r="J79" s="69">
        <v>0.34100000000000003</v>
      </c>
      <c r="K79" s="63">
        <v>30</v>
      </c>
      <c r="L79" s="60"/>
    </row>
    <row r="80" spans="5:12" x14ac:dyDescent="0.25">
      <c r="E80" s="167"/>
      <c r="F80" s="61" t="s">
        <v>21</v>
      </c>
      <c r="G80" s="62">
        <v>0</v>
      </c>
      <c r="H80" s="62">
        <v>19</v>
      </c>
      <c r="I80" s="62">
        <v>9</v>
      </c>
      <c r="J80" s="69">
        <v>0.318</v>
      </c>
      <c r="K80" s="63">
        <v>28</v>
      </c>
      <c r="L80" s="60"/>
    </row>
    <row r="81" spans="5:12" x14ac:dyDescent="0.25">
      <c r="E81" s="167"/>
      <c r="F81" s="61" t="s">
        <v>104</v>
      </c>
      <c r="G81" s="62">
        <v>0</v>
      </c>
      <c r="H81" s="62">
        <v>12</v>
      </c>
      <c r="I81" s="62">
        <v>9</v>
      </c>
      <c r="J81" s="69">
        <v>0.23899999999999999</v>
      </c>
      <c r="K81" s="63">
        <v>21</v>
      </c>
      <c r="L81" s="60"/>
    </row>
    <row r="82" spans="5:12" x14ac:dyDescent="0.25">
      <c r="E82" s="167"/>
      <c r="F82" s="61" t="s">
        <v>11</v>
      </c>
      <c r="G82" s="62">
        <v>0</v>
      </c>
      <c r="H82" s="62">
        <v>2</v>
      </c>
      <c r="I82" s="62">
        <v>2</v>
      </c>
      <c r="J82" s="69">
        <v>4.4999999999999998E-2</v>
      </c>
      <c r="K82" s="63">
        <v>4</v>
      </c>
      <c r="L82" s="60"/>
    </row>
    <row r="83" spans="5:12" x14ac:dyDescent="0.25">
      <c r="E83" s="168" t="s">
        <v>7</v>
      </c>
      <c r="F83" s="168"/>
      <c r="G83" s="64">
        <v>4</v>
      </c>
      <c r="H83" s="64">
        <v>56</v>
      </c>
      <c r="I83" s="64">
        <v>28</v>
      </c>
      <c r="J83" s="68">
        <f>SUM(J78:J82)</f>
        <v>1</v>
      </c>
      <c r="K83" s="64">
        <v>88</v>
      </c>
      <c r="L83" s="60"/>
    </row>
    <row r="84" spans="5:12" x14ac:dyDescent="0.25">
      <c r="E84" s="60"/>
      <c r="F84" s="60"/>
      <c r="G84" s="60"/>
      <c r="H84" s="60"/>
      <c r="I84" s="60"/>
      <c r="J84" s="60"/>
      <c r="K84" s="60"/>
      <c r="L84" s="60"/>
    </row>
    <row r="85" spans="5:12" x14ac:dyDescent="0.25">
      <c r="E85" s="166" t="s">
        <v>121</v>
      </c>
      <c r="F85" s="166"/>
      <c r="G85" s="166"/>
      <c r="H85" s="166"/>
      <c r="I85" s="166"/>
      <c r="J85" s="166"/>
      <c r="K85" s="166"/>
      <c r="L85" s="60"/>
    </row>
    <row r="86" spans="5:12" x14ac:dyDescent="0.25">
      <c r="E86" s="167" t="s">
        <v>0</v>
      </c>
      <c r="F86" s="167"/>
      <c r="G86" s="167" t="s">
        <v>25</v>
      </c>
      <c r="H86" s="167"/>
      <c r="I86" s="167"/>
      <c r="J86" s="169" t="s">
        <v>59</v>
      </c>
      <c r="K86" s="167" t="s">
        <v>7</v>
      </c>
      <c r="L86" s="60"/>
    </row>
    <row r="87" spans="5:12" x14ac:dyDescent="0.25">
      <c r="E87" s="167"/>
      <c r="F87" s="167"/>
      <c r="G87" s="61" t="s">
        <v>0</v>
      </c>
      <c r="H87" s="61" t="s">
        <v>8</v>
      </c>
      <c r="I87" s="61" t="s">
        <v>9</v>
      </c>
      <c r="J87" s="170"/>
      <c r="K87" s="167"/>
      <c r="L87" s="60"/>
    </row>
    <row r="88" spans="5:12" x14ac:dyDescent="0.25">
      <c r="E88" s="167" t="s">
        <v>130</v>
      </c>
      <c r="F88" s="61" t="s">
        <v>0</v>
      </c>
      <c r="G88" s="62">
        <v>4</v>
      </c>
      <c r="H88" s="62">
        <v>0</v>
      </c>
      <c r="I88" s="62">
        <v>0</v>
      </c>
      <c r="J88" s="70">
        <v>4.4999999999999998E-2</v>
      </c>
      <c r="K88" s="63">
        <v>4</v>
      </c>
      <c r="L88" s="60"/>
    </row>
    <row r="89" spans="5:12" x14ac:dyDescent="0.25">
      <c r="E89" s="167"/>
      <c r="F89" s="61" t="s">
        <v>8</v>
      </c>
      <c r="G89" s="62">
        <v>0</v>
      </c>
      <c r="H89" s="62">
        <v>20</v>
      </c>
      <c r="I89" s="62">
        <v>10</v>
      </c>
      <c r="J89" s="70">
        <v>0.34100000000000003</v>
      </c>
      <c r="K89" s="63">
        <v>30</v>
      </c>
      <c r="L89" s="60"/>
    </row>
    <row r="90" spans="5:12" x14ac:dyDescent="0.25">
      <c r="E90" s="167"/>
      <c r="F90" s="61" t="s">
        <v>21</v>
      </c>
      <c r="G90" s="62">
        <v>0</v>
      </c>
      <c r="H90" s="62">
        <v>25</v>
      </c>
      <c r="I90" s="62">
        <v>9</v>
      </c>
      <c r="J90" s="70">
        <v>0.38600000000000001</v>
      </c>
      <c r="K90" s="63">
        <v>34</v>
      </c>
      <c r="L90" s="60"/>
    </row>
    <row r="91" spans="5:12" x14ac:dyDescent="0.25">
      <c r="E91" s="167"/>
      <c r="F91" s="61" t="s">
        <v>104</v>
      </c>
      <c r="G91" s="62">
        <v>0</v>
      </c>
      <c r="H91" s="62">
        <v>7</v>
      </c>
      <c r="I91" s="62">
        <v>6</v>
      </c>
      <c r="J91" s="70">
        <v>0.14799999999999999</v>
      </c>
      <c r="K91" s="63">
        <v>13</v>
      </c>
      <c r="L91" s="60"/>
    </row>
    <row r="92" spans="5:12" x14ac:dyDescent="0.25">
      <c r="E92" s="167"/>
      <c r="F92" s="61" t="s">
        <v>11</v>
      </c>
      <c r="G92" s="62">
        <v>0</v>
      </c>
      <c r="H92" s="62">
        <v>4</v>
      </c>
      <c r="I92" s="62">
        <v>3</v>
      </c>
      <c r="J92" s="70">
        <v>0.08</v>
      </c>
      <c r="K92" s="63">
        <v>7</v>
      </c>
      <c r="L92" s="60"/>
    </row>
    <row r="93" spans="5:12" x14ac:dyDescent="0.25">
      <c r="E93" s="168" t="s">
        <v>7</v>
      </c>
      <c r="F93" s="168"/>
      <c r="G93" s="64">
        <v>4</v>
      </c>
      <c r="H93" s="64">
        <v>56</v>
      </c>
      <c r="I93" s="64">
        <v>28</v>
      </c>
      <c r="J93" s="71">
        <f>SUM(J88:J92)</f>
        <v>1</v>
      </c>
      <c r="K93" s="64">
        <v>88</v>
      </c>
      <c r="L93" s="60"/>
    </row>
    <row r="94" spans="5:12" x14ac:dyDescent="0.25">
      <c r="E94" s="60"/>
      <c r="F94" s="60"/>
      <c r="G94" s="60"/>
      <c r="H94" s="60"/>
      <c r="I94" s="60"/>
      <c r="J94" s="60"/>
      <c r="K94" s="60"/>
      <c r="L94" s="60"/>
    </row>
    <row r="95" spans="5:12" x14ac:dyDescent="0.25">
      <c r="E95" s="166" t="s">
        <v>122</v>
      </c>
      <c r="F95" s="166"/>
      <c r="G95" s="166"/>
      <c r="H95" s="166"/>
      <c r="I95" s="166"/>
      <c r="J95" s="166"/>
      <c r="K95" s="166"/>
      <c r="L95" s="60"/>
    </row>
    <row r="96" spans="5:12" x14ac:dyDescent="0.25">
      <c r="E96" s="167" t="s">
        <v>0</v>
      </c>
      <c r="F96" s="167"/>
      <c r="G96" s="167" t="s">
        <v>25</v>
      </c>
      <c r="H96" s="167"/>
      <c r="I96" s="167"/>
      <c r="J96" s="169" t="s">
        <v>59</v>
      </c>
      <c r="K96" s="167" t="s">
        <v>7</v>
      </c>
    </row>
    <row r="97" spans="5:12" x14ac:dyDescent="0.25">
      <c r="E97" s="167"/>
      <c r="F97" s="167"/>
      <c r="G97" s="61" t="s">
        <v>0</v>
      </c>
      <c r="H97" s="61" t="s">
        <v>8</v>
      </c>
      <c r="I97" s="61" t="s">
        <v>9</v>
      </c>
      <c r="J97" s="170"/>
      <c r="K97" s="167"/>
      <c r="L97" s="60"/>
    </row>
    <row r="98" spans="5:12" x14ac:dyDescent="0.25">
      <c r="E98" s="167" t="s">
        <v>131</v>
      </c>
      <c r="F98" s="61" t="s">
        <v>0</v>
      </c>
      <c r="G98" s="62">
        <v>4</v>
      </c>
      <c r="H98" s="62">
        <v>46</v>
      </c>
      <c r="I98" s="62">
        <v>21</v>
      </c>
      <c r="J98" s="69">
        <v>0.89900000000000002</v>
      </c>
      <c r="K98" s="63">
        <v>79</v>
      </c>
      <c r="L98" s="60"/>
    </row>
    <row r="99" spans="5:12" x14ac:dyDescent="0.25">
      <c r="E99" s="167"/>
      <c r="F99" s="61" t="s">
        <v>105</v>
      </c>
      <c r="G99" s="62">
        <v>0</v>
      </c>
      <c r="H99" s="62">
        <v>0</v>
      </c>
      <c r="I99" s="62">
        <v>1</v>
      </c>
      <c r="J99" s="73">
        <v>1.0999999999999999E-2</v>
      </c>
      <c r="K99" s="63">
        <v>1</v>
      </c>
      <c r="L99" s="60"/>
    </row>
    <row r="100" spans="5:12" x14ac:dyDescent="0.25">
      <c r="E100" s="167"/>
      <c r="F100" s="61" t="s">
        <v>106</v>
      </c>
      <c r="G100" s="62">
        <v>0</v>
      </c>
      <c r="H100" s="62">
        <v>1</v>
      </c>
      <c r="I100" s="62">
        <v>0</v>
      </c>
      <c r="J100" s="69">
        <v>1.0999999999999999E-2</v>
      </c>
      <c r="K100" s="63">
        <v>1</v>
      </c>
      <c r="L100" s="60"/>
    </row>
    <row r="101" spans="5:12" x14ac:dyDescent="0.25">
      <c r="E101" s="167"/>
      <c r="F101" s="61" t="s">
        <v>107</v>
      </c>
      <c r="G101" s="62">
        <v>0</v>
      </c>
      <c r="H101" s="62">
        <v>3</v>
      </c>
      <c r="I101" s="62">
        <v>0</v>
      </c>
      <c r="J101" s="69">
        <v>3.5000000000000003E-2</v>
      </c>
      <c r="K101" s="63">
        <v>3</v>
      </c>
      <c r="L101" s="60"/>
    </row>
    <row r="102" spans="5:12" x14ac:dyDescent="0.25">
      <c r="E102" s="167"/>
      <c r="F102" s="61" t="s">
        <v>108</v>
      </c>
      <c r="G102" s="62">
        <v>0</v>
      </c>
      <c r="H102" s="62">
        <v>0</v>
      </c>
      <c r="I102" s="62">
        <v>1</v>
      </c>
      <c r="J102" s="69">
        <v>1.0999999999999999E-2</v>
      </c>
      <c r="K102" s="63">
        <v>1</v>
      </c>
      <c r="L102" s="60"/>
    </row>
    <row r="103" spans="5:12" x14ac:dyDescent="0.25">
      <c r="E103" s="167"/>
      <c r="F103" s="61" t="s">
        <v>109</v>
      </c>
      <c r="G103" s="62">
        <v>0</v>
      </c>
      <c r="H103" s="62">
        <v>1</v>
      </c>
      <c r="I103" s="62">
        <v>0</v>
      </c>
      <c r="J103" s="69">
        <v>1.0999999999999999E-2</v>
      </c>
      <c r="K103" s="63">
        <v>1</v>
      </c>
      <c r="L103" s="60"/>
    </row>
    <row r="104" spans="5:12" x14ac:dyDescent="0.25">
      <c r="E104" s="167"/>
      <c r="F104" s="61" t="s">
        <v>110</v>
      </c>
      <c r="G104" s="62">
        <v>0</v>
      </c>
      <c r="H104" s="62">
        <v>1</v>
      </c>
      <c r="I104" s="62">
        <v>0</v>
      </c>
      <c r="J104" s="69">
        <v>1.0999999999999999E-2</v>
      </c>
      <c r="K104" s="63">
        <v>1</v>
      </c>
      <c r="L104" s="60"/>
    </row>
    <row r="105" spans="5:12" ht="24" x14ac:dyDescent="0.25">
      <c r="E105" s="167"/>
      <c r="F105" s="61" t="s">
        <v>111</v>
      </c>
      <c r="G105" s="62">
        <v>0</v>
      </c>
      <c r="H105" s="62">
        <v>1</v>
      </c>
      <c r="I105" s="62">
        <v>0</v>
      </c>
      <c r="J105" s="69">
        <v>1.0999999999999999E-2</v>
      </c>
      <c r="K105" s="63">
        <v>1</v>
      </c>
      <c r="L105" s="60"/>
    </row>
    <row r="106" spans="5:12" ht="15.75" thickBot="1" x14ac:dyDescent="0.3">
      <c r="E106" s="171" t="s">
        <v>7</v>
      </c>
      <c r="F106" s="172"/>
      <c r="G106" s="65">
        <v>4</v>
      </c>
      <c r="H106" s="66">
        <v>56</v>
      </c>
      <c r="I106" s="66">
        <v>28</v>
      </c>
      <c r="J106" s="72">
        <f>SUM(J98:J105)</f>
        <v>1</v>
      </c>
      <c r="K106" s="67">
        <f>SUM(K98:K105)</f>
        <v>88</v>
      </c>
      <c r="L106" s="60"/>
    </row>
  </sheetData>
  <mergeCells count="71">
    <mergeCell ref="E98:E105"/>
    <mergeCell ref="E106:F106"/>
    <mergeCell ref="J6:J7"/>
    <mergeCell ref="J26:J27"/>
    <mergeCell ref="J46:J47"/>
    <mergeCell ref="J36:J37"/>
    <mergeCell ref="J56:J57"/>
    <mergeCell ref="J66:J67"/>
    <mergeCell ref="J76:J77"/>
    <mergeCell ref="J86:J87"/>
    <mergeCell ref="E88:E92"/>
    <mergeCell ref="E93:F93"/>
    <mergeCell ref="E95:K95"/>
    <mergeCell ref="E96:F97"/>
    <mergeCell ref="G96:I96"/>
    <mergeCell ref="K96:K97"/>
    <mergeCell ref="J96:J97"/>
    <mergeCell ref="E78:E82"/>
    <mergeCell ref="E83:F83"/>
    <mergeCell ref="E85:K85"/>
    <mergeCell ref="E86:F87"/>
    <mergeCell ref="G86:I86"/>
    <mergeCell ref="K86:K87"/>
    <mergeCell ref="E68:E72"/>
    <mergeCell ref="E73:F73"/>
    <mergeCell ref="E75:K75"/>
    <mergeCell ref="E76:F77"/>
    <mergeCell ref="G76:I76"/>
    <mergeCell ref="K76:K77"/>
    <mergeCell ref="E58:E62"/>
    <mergeCell ref="E63:F63"/>
    <mergeCell ref="E65:K65"/>
    <mergeCell ref="E66:F67"/>
    <mergeCell ref="G66:I66"/>
    <mergeCell ref="K66:K67"/>
    <mergeCell ref="E48:E52"/>
    <mergeCell ref="E53:F53"/>
    <mergeCell ref="E55:K55"/>
    <mergeCell ref="E56:F57"/>
    <mergeCell ref="G56:I56"/>
    <mergeCell ref="K56:K57"/>
    <mergeCell ref="E38:E42"/>
    <mergeCell ref="E43:F43"/>
    <mergeCell ref="E45:K45"/>
    <mergeCell ref="E46:F47"/>
    <mergeCell ref="G46:I46"/>
    <mergeCell ref="K46:K47"/>
    <mergeCell ref="E28:E32"/>
    <mergeCell ref="E33:F33"/>
    <mergeCell ref="E35:K35"/>
    <mergeCell ref="E36:F37"/>
    <mergeCell ref="G36:I36"/>
    <mergeCell ref="K36:K37"/>
    <mergeCell ref="E18:E22"/>
    <mergeCell ref="E23:F23"/>
    <mergeCell ref="E25:K25"/>
    <mergeCell ref="E26:F27"/>
    <mergeCell ref="G26:I26"/>
    <mergeCell ref="K26:K27"/>
    <mergeCell ref="E8:E12"/>
    <mergeCell ref="E13:F13"/>
    <mergeCell ref="E15:K15"/>
    <mergeCell ref="E16:F17"/>
    <mergeCell ref="G16:I16"/>
    <mergeCell ref="K16:K17"/>
    <mergeCell ref="J16:J17"/>
    <mergeCell ref="D3:N3"/>
    <mergeCell ref="E5:K5"/>
    <mergeCell ref="E6:F7"/>
    <mergeCell ref="G6:I6"/>
    <mergeCell ref="K6:K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M112"/>
  <sheetViews>
    <sheetView workbookViewId="0">
      <selection activeCell="N108" sqref="N108"/>
    </sheetView>
  </sheetViews>
  <sheetFormatPr defaultRowHeight="15" x14ac:dyDescent="0.25"/>
  <cols>
    <col min="4" max="4" width="22" customWidth="1"/>
    <col min="5" max="5" width="33.5703125" customWidth="1"/>
    <col min="6" max="6" width="14.7109375" customWidth="1"/>
    <col min="8" max="8" width="13.42578125" customWidth="1"/>
    <col min="13" max="13" width="9.140625" style="97"/>
  </cols>
  <sheetData>
    <row r="2" spans="4:12" ht="18" x14ac:dyDescent="0.25">
      <c r="D2" s="144" t="s">
        <v>103</v>
      </c>
      <c r="E2" s="144"/>
      <c r="F2" s="144"/>
      <c r="G2" s="144"/>
      <c r="H2" s="144"/>
      <c r="I2" s="144"/>
      <c r="J2" s="144"/>
      <c r="K2" s="144"/>
      <c r="L2" s="144"/>
    </row>
    <row r="4" spans="4:12" x14ac:dyDescent="0.25">
      <c r="D4" s="166" t="s">
        <v>204</v>
      </c>
      <c r="E4" s="166"/>
      <c r="F4" s="166"/>
      <c r="G4" s="166"/>
      <c r="H4" s="166"/>
      <c r="I4" s="166"/>
      <c r="J4" s="166"/>
      <c r="K4" s="166"/>
    </row>
    <row r="5" spans="4:12" x14ac:dyDescent="0.25">
      <c r="D5" s="167" t="s">
        <v>0</v>
      </c>
      <c r="E5" s="167"/>
      <c r="F5" s="167" t="s">
        <v>169</v>
      </c>
      <c r="G5" s="167"/>
      <c r="H5" s="167"/>
      <c r="I5" s="167"/>
      <c r="J5" s="169" t="s">
        <v>59</v>
      </c>
      <c r="K5" s="167" t="s">
        <v>7</v>
      </c>
    </row>
    <row r="6" spans="4:12" x14ac:dyDescent="0.25">
      <c r="D6" s="167"/>
      <c r="E6" s="167"/>
      <c r="F6" s="96" t="s">
        <v>167</v>
      </c>
      <c r="G6" s="96" t="s">
        <v>4</v>
      </c>
      <c r="H6" s="96" t="s">
        <v>5</v>
      </c>
      <c r="I6" s="96" t="s">
        <v>6</v>
      </c>
      <c r="J6" s="170"/>
      <c r="K6" s="167"/>
    </row>
    <row r="7" spans="4:12" x14ac:dyDescent="0.25">
      <c r="D7" s="167" t="s">
        <v>113</v>
      </c>
      <c r="E7" s="96" t="s">
        <v>0</v>
      </c>
      <c r="F7" s="62">
        <v>4</v>
      </c>
      <c r="G7" s="62">
        <v>0</v>
      </c>
      <c r="H7" s="62">
        <v>0</v>
      </c>
      <c r="I7" s="62">
        <v>0</v>
      </c>
      <c r="J7" s="69">
        <v>4.4999999999999998E-2</v>
      </c>
      <c r="K7" s="63">
        <f>SUM(F7:J7)</f>
        <v>4.0449999999999999</v>
      </c>
      <c r="L7" s="100"/>
    </row>
    <row r="8" spans="4:12" x14ac:dyDescent="0.25">
      <c r="D8" s="167"/>
      <c r="E8" s="96" t="s">
        <v>8</v>
      </c>
      <c r="F8" s="62">
        <v>0</v>
      </c>
      <c r="G8" s="62">
        <v>1</v>
      </c>
      <c r="H8" s="62">
        <v>2</v>
      </c>
      <c r="I8" s="62">
        <v>8</v>
      </c>
      <c r="J8" s="69">
        <v>0.125</v>
      </c>
      <c r="K8" s="63">
        <f>SUM(F8:J8)</f>
        <v>11.125</v>
      </c>
      <c r="L8" s="100"/>
    </row>
    <row r="9" spans="4:12" x14ac:dyDescent="0.25">
      <c r="D9" s="167"/>
      <c r="E9" s="96" t="s">
        <v>21</v>
      </c>
      <c r="F9" s="62">
        <v>0</v>
      </c>
      <c r="G9" s="62">
        <v>5</v>
      </c>
      <c r="H9" s="62">
        <v>11</v>
      </c>
      <c r="I9" s="62">
        <v>9</v>
      </c>
      <c r="J9" s="69">
        <v>0.28399999999999997</v>
      </c>
      <c r="K9" s="63">
        <f>SUM(F9:J9)</f>
        <v>25.283999999999999</v>
      </c>
      <c r="L9" s="100"/>
    </row>
    <row r="10" spans="4:12" x14ac:dyDescent="0.25">
      <c r="D10" s="167"/>
      <c r="E10" s="96" t="s">
        <v>104</v>
      </c>
      <c r="F10" s="62">
        <v>0</v>
      </c>
      <c r="G10" s="62">
        <v>5</v>
      </c>
      <c r="H10" s="62">
        <v>5</v>
      </c>
      <c r="I10" s="62">
        <v>11</v>
      </c>
      <c r="J10" s="69">
        <v>0.23899999999999999</v>
      </c>
      <c r="K10" s="63">
        <f>SUM(F10:J10)</f>
        <v>21.239000000000001</v>
      </c>
      <c r="L10" s="100"/>
    </row>
    <row r="11" spans="4:12" x14ac:dyDescent="0.25">
      <c r="D11" s="167"/>
      <c r="E11" s="96" t="s">
        <v>11</v>
      </c>
      <c r="F11" s="62">
        <v>0</v>
      </c>
      <c r="G11" s="62">
        <v>3</v>
      </c>
      <c r="H11" s="62">
        <v>9</v>
      </c>
      <c r="I11" s="62">
        <v>15</v>
      </c>
      <c r="J11" s="69">
        <v>0.307</v>
      </c>
      <c r="K11" s="63">
        <f>SUM(F11:J11)</f>
        <v>27.306999999999999</v>
      </c>
      <c r="L11" s="100"/>
    </row>
    <row r="12" spans="4:12" x14ac:dyDescent="0.25">
      <c r="D12" s="168" t="s">
        <v>7</v>
      </c>
      <c r="E12" s="168"/>
      <c r="F12" s="64">
        <f>SUM(F7:F11)</f>
        <v>4</v>
      </c>
      <c r="G12" s="64">
        <f t="shared" ref="G12:I12" si="0">SUM(G7:G11)</f>
        <v>14</v>
      </c>
      <c r="H12" s="64">
        <f t="shared" si="0"/>
        <v>27</v>
      </c>
      <c r="I12" s="64">
        <f t="shared" si="0"/>
        <v>43</v>
      </c>
      <c r="J12" s="68">
        <f>SUM(J7:J11)</f>
        <v>1</v>
      </c>
      <c r="K12" s="64">
        <v>88</v>
      </c>
      <c r="L12" s="100"/>
    </row>
    <row r="15" spans="4:12" x14ac:dyDescent="0.25">
      <c r="D15" s="166" t="s">
        <v>224</v>
      </c>
      <c r="E15" s="166"/>
      <c r="F15" s="166"/>
      <c r="G15" s="166"/>
      <c r="H15" s="166"/>
      <c r="I15" s="166"/>
      <c r="J15" s="166"/>
      <c r="K15" s="166"/>
    </row>
    <row r="16" spans="4:12" x14ac:dyDescent="0.25">
      <c r="D16" s="167" t="s">
        <v>0</v>
      </c>
      <c r="E16" s="167"/>
      <c r="F16" s="167" t="s">
        <v>169</v>
      </c>
      <c r="G16" s="167"/>
      <c r="H16" s="167"/>
      <c r="I16" s="167"/>
      <c r="J16" s="169" t="s">
        <v>59</v>
      </c>
      <c r="K16" s="167" t="s">
        <v>7</v>
      </c>
    </row>
    <row r="17" spans="4:12" x14ac:dyDescent="0.25">
      <c r="D17" s="167"/>
      <c r="E17" s="167"/>
      <c r="F17" s="96" t="s">
        <v>167</v>
      </c>
      <c r="G17" s="96" t="s">
        <v>4</v>
      </c>
      <c r="H17" s="96" t="s">
        <v>5</v>
      </c>
      <c r="I17" s="96" t="s">
        <v>6</v>
      </c>
      <c r="J17" s="170"/>
      <c r="K17" s="167"/>
    </row>
    <row r="18" spans="4:12" x14ac:dyDescent="0.25">
      <c r="D18" s="167" t="s">
        <v>123</v>
      </c>
      <c r="E18" s="96" t="s">
        <v>0</v>
      </c>
      <c r="F18" s="62">
        <v>4</v>
      </c>
      <c r="G18" s="62">
        <v>0</v>
      </c>
      <c r="H18" s="62">
        <v>0</v>
      </c>
      <c r="I18" s="62">
        <v>0</v>
      </c>
      <c r="J18" s="69">
        <v>4.4999999999999998E-2</v>
      </c>
      <c r="K18" s="63">
        <f>SUM(F18:J18)</f>
        <v>4.0449999999999999</v>
      </c>
      <c r="L18" s="100"/>
    </row>
    <row r="19" spans="4:12" x14ac:dyDescent="0.25">
      <c r="D19" s="167"/>
      <c r="E19" s="96" t="s">
        <v>8</v>
      </c>
      <c r="F19" s="62">
        <v>0</v>
      </c>
      <c r="G19" s="62">
        <v>3</v>
      </c>
      <c r="H19" s="62">
        <v>3</v>
      </c>
      <c r="I19" s="62">
        <v>7</v>
      </c>
      <c r="J19" s="69">
        <v>0.14799999999999999</v>
      </c>
      <c r="K19" s="63">
        <f>SUM(F19:J19)</f>
        <v>13.148</v>
      </c>
      <c r="L19" s="100"/>
    </row>
    <row r="20" spans="4:12" x14ac:dyDescent="0.25">
      <c r="D20" s="167"/>
      <c r="E20" s="96" t="s">
        <v>21</v>
      </c>
      <c r="F20" s="62">
        <v>0</v>
      </c>
      <c r="G20" s="62">
        <v>8</v>
      </c>
      <c r="H20" s="62">
        <v>14</v>
      </c>
      <c r="I20" s="62">
        <v>10</v>
      </c>
      <c r="J20" s="69">
        <v>0.36399999999999999</v>
      </c>
      <c r="K20" s="63">
        <f>SUM(F20:J20)</f>
        <v>32.363999999999997</v>
      </c>
      <c r="L20" s="100"/>
    </row>
    <row r="21" spans="4:12" x14ac:dyDescent="0.25">
      <c r="D21" s="167"/>
      <c r="E21" s="96" t="s">
        <v>104</v>
      </c>
      <c r="F21" s="62">
        <v>0</v>
      </c>
      <c r="G21" s="62">
        <v>1</v>
      </c>
      <c r="H21" s="62">
        <v>5</v>
      </c>
      <c r="I21" s="62">
        <v>17</v>
      </c>
      <c r="J21" s="69">
        <v>0.26100000000000001</v>
      </c>
      <c r="K21" s="63">
        <f>SUM(F21:J21)</f>
        <v>23.260999999999999</v>
      </c>
      <c r="L21" s="100"/>
    </row>
    <row r="22" spans="4:12" x14ac:dyDescent="0.25">
      <c r="D22" s="167"/>
      <c r="E22" s="96" t="s">
        <v>11</v>
      </c>
      <c r="F22" s="62">
        <v>0</v>
      </c>
      <c r="G22" s="62">
        <v>2</v>
      </c>
      <c r="H22" s="62">
        <v>5</v>
      </c>
      <c r="I22" s="62">
        <v>9</v>
      </c>
      <c r="J22" s="69">
        <v>0.182</v>
      </c>
      <c r="K22" s="63">
        <f>SUM(F22:J22)</f>
        <v>16.181999999999999</v>
      </c>
      <c r="L22" s="100"/>
    </row>
    <row r="23" spans="4:12" x14ac:dyDescent="0.25">
      <c r="D23" s="168" t="s">
        <v>7</v>
      </c>
      <c r="E23" s="168"/>
      <c r="F23" s="64">
        <f>SUM(F18:F22)</f>
        <v>4</v>
      </c>
      <c r="G23" s="64">
        <f t="shared" ref="G23:I23" si="1">SUM(G18:G22)</f>
        <v>14</v>
      </c>
      <c r="H23" s="64">
        <f t="shared" si="1"/>
        <v>27</v>
      </c>
      <c r="I23" s="64">
        <f t="shared" si="1"/>
        <v>43</v>
      </c>
      <c r="J23" s="68">
        <f>SUM(J18:J22)</f>
        <v>1</v>
      </c>
      <c r="K23" s="64">
        <v>88</v>
      </c>
    </row>
    <row r="26" spans="4:12" x14ac:dyDescent="0.25">
      <c r="D26" s="166" t="s">
        <v>205</v>
      </c>
      <c r="E26" s="166"/>
      <c r="F26" s="166"/>
      <c r="G26" s="166"/>
      <c r="H26" s="166"/>
      <c r="I26" s="166"/>
      <c r="J26" s="166"/>
      <c r="K26" s="166"/>
    </row>
    <row r="27" spans="4:12" x14ac:dyDescent="0.25">
      <c r="D27" s="167" t="s">
        <v>0</v>
      </c>
      <c r="E27" s="167"/>
      <c r="F27" s="167" t="s">
        <v>169</v>
      </c>
      <c r="G27" s="167"/>
      <c r="H27" s="167"/>
      <c r="I27" s="167"/>
      <c r="J27" s="169" t="s">
        <v>59</v>
      </c>
      <c r="K27" s="167" t="s">
        <v>7</v>
      </c>
    </row>
    <row r="28" spans="4:12" x14ac:dyDescent="0.25">
      <c r="D28" s="167"/>
      <c r="E28" s="167"/>
      <c r="F28" s="96" t="s">
        <v>167</v>
      </c>
      <c r="G28" s="96" t="s">
        <v>4</v>
      </c>
      <c r="H28" s="96" t="s">
        <v>5</v>
      </c>
      <c r="I28" s="96" t="s">
        <v>6</v>
      </c>
      <c r="J28" s="170"/>
      <c r="K28" s="167"/>
    </row>
    <row r="29" spans="4:12" x14ac:dyDescent="0.25">
      <c r="D29" s="167" t="s">
        <v>206</v>
      </c>
      <c r="E29" s="96" t="s">
        <v>0</v>
      </c>
      <c r="F29" s="62">
        <v>4</v>
      </c>
      <c r="G29" s="62">
        <v>0</v>
      </c>
      <c r="H29" s="62">
        <v>0</v>
      </c>
      <c r="I29" s="62">
        <v>0</v>
      </c>
      <c r="J29" s="69">
        <v>4.4999999999999998E-2</v>
      </c>
      <c r="K29" s="63">
        <f>SUM(F29:J29)</f>
        <v>4.0449999999999999</v>
      </c>
      <c r="L29" s="100"/>
    </row>
    <row r="30" spans="4:12" x14ac:dyDescent="0.25">
      <c r="D30" s="167"/>
      <c r="E30" s="96" t="s">
        <v>8</v>
      </c>
      <c r="F30" s="62">
        <v>0</v>
      </c>
      <c r="G30" s="62">
        <v>3</v>
      </c>
      <c r="H30" s="62">
        <v>3</v>
      </c>
      <c r="I30" s="62">
        <v>9</v>
      </c>
      <c r="J30" s="69">
        <v>0.17</v>
      </c>
      <c r="K30" s="63">
        <f>SUM(F30:J30)</f>
        <v>15.17</v>
      </c>
      <c r="L30" s="100"/>
    </row>
    <row r="31" spans="4:12" x14ac:dyDescent="0.25">
      <c r="D31" s="167"/>
      <c r="E31" s="96" t="s">
        <v>21</v>
      </c>
      <c r="F31" s="62">
        <v>0</v>
      </c>
      <c r="G31" s="62">
        <v>11</v>
      </c>
      <c r="H31" s="62">
        <v>21</v>
      </c>
      <c r="I31" s="62">
        <v>23</v>
      </c>
      <c r="J31" s="69">
        <v>0.625</v>
      </c>
      <c r="K31" s="63">
        <f>SUM(F31:J31)</f>
        <v>55.625</v>
      </c>
      <c r="L31" s="100"/>
    </row>
    <row r="32" spans="4:12" x14ac:dyDescent="0.25">
      <c r="D32" s="167"/>
      <c r="E32" s="96" t="s">
        <v>104</v>
      </c>
      <c r="F32" s="62">
        <v>0</v>
      </c>
      <c r="G32" s="62">
        <v>0</v>
      </c>
      <c r="H32" s="62">
        <v>2</v>
      </c>
      <c r="I32" s="62">
        <v>3</v>
      </c>
      <c r="J32" s="69">
        <v>5.7000000000000002E-2</v>
      </c>
      <c r="K32" s="63">
        <f>SUM(F32:J32)</f>
        <v>5.0570000000000004</v>
      </c>
      <c r="L32" s="100"/>
    </row>
    <row r="33" spans="4:12" x14ac:dyDescent="0.25">
      <c r="D33" s="167"/>
      <c r="E33" s="96" t="s">
        <v>11</v>
      </c>
      <c r="F33" s="62">
        <v>0</v>
      </c>
      <c r="G33" s="62">
        <v>0</v>
      </c>
      <c r="H33" s="62">
        <v>1</v>
      </c>
      <c r="I33" s="62">
        <v>8</v>
      </c>
      <c r="J33" s="69">
        <v>0.10299999999999999</v>
      </c>
      <c r="K33" s="63">
        <f>SUM(F33:J33)</f>
        <v>9.1029999999999998</v>
      </c>
      <c r="L33" s="100"/>
    </row>
    <row r="34" spans="4:12" x14ac:dyDescent="0.25">
      <c r="D34" s="168" t="s">
        <v>7</v>
      </c>
      <c r="E34" s="168"/>
      <c r="F34" s="64">
        <f>SUM(F29:F33)</f>
        <v>4</v>
      </c>
      <c r="G34" s="64">
        <f t="shared" ref="G34:I34" si="2">SUM(G29:G33)</f>
        <v>14</v>
      </c>
      <c r="H34" s="64">
        <f t="shared" si="2"/>
        <v>27</v>
      </c>
      <c r="I34" s="64">
        <f t="shared" si="2"/>
        <v>43</v>
      </c>
      <c r="J34" s="68">
        <f>SUM(J29:J33)</f>
        <v>1.0000000000000002</v>
      </c>
      <c r="K34" s="64">
        <v>88</v>
      </c>
    </row>
    <row r="37" spans="4:12" x14ac:dyDescent="0.25">
      <c r="D37" s="166" t="s">
        <v>207</v>
      </c>
      <c r="E37" s="166"/>
      <c r="F37" s="166"/>
      <c r="G37" s="166"/>
      <c r="H37" s="166"/>
      <c r="I37" s="166"/>
      <c r="J37" s="166"/>
      <c r="K37" s="166"/>
    </row>
    <row r="38" spans="4:12" x14ac:dyDescent="0.25">
      <c r="D38" s="167" t="s">
        <v>0</v>
      </c>
      <c r="E38" s="167"/>
      <c r="F38" s="167" t="s">
        <v>169</v>
      </c>
      <c r="G38" s="167"/>
      <c r="H38" s="167"/>
      <c r="I38" s="167"/>
      <c r="J38" s="169" t="s">
        <v>59</v>
      </c>
      <c r="K38" s="167" t="s">
        <v>7</v>
      </c>
    </row>
    <row r="39" spans="4:12" x14ac:dyDescent="0.25">
      <c r="D39" s="167"/>
      <c r="E39" s="167"/>
      <c r="F39" s="96" t="s">
        <v>167</v>
      </c>
      <c r="G39" s="96" t="s">
        <v>4</v>
      </c>
      <c r="H39" s="96" t="s">
        <v>5</v>
      </c>
      <c r="I39" s="96" t="s">
        <v>6</v>
      </c>
      <c r="J39" s="170"/>
      <c r="K39" s="167"/>
    </row>
    <row r="40" spans="4:12" x14ac:dyDescent="0.25">
      <c r="D40" s="167" t="s">
        <v>125</v>
      </c>
      <c r="E40" s="96" t="s">
        <v>0</v>
      </c>
      <c r="F40" s="62">
        <v>4</v>
      </c>
      <c r="G40" s="62">
        <v>0</v>
      </c>
      <c r="H40" s="62">
        <v>0</v>
      </c>
      <c r="I40" s="62">
        <v>0</v>
      </c>
      <c r="J40" s="69">
        <v>4.4999999999999998E-2</v>
      </c>
      <c r="K40" s="63">
        <f>SUM(F40:J40)</f>
        <v>4.0449999999999999</v>
      </c>
      <c r="L40" s="100"/>
    </row>
    <row r="41" spans="4:12" x14ac:dyDescent="0.25">
      <c r="D41" s="167"/>
      <c r="E41" s="96" t="s">
        <v>8</v>
      </c>
      <c r="F41" s="62">
        <v>0</v>
      </c>
      <c r="G41" s="62">
        <v>6</v>
      </c>
      <c r="H41" s="62">
        <v>6</v>
      </c>
      <c r="I41" s="62">
        <v>10</v>
      </c>
      <c r="J41" s="69">
        <v>0.25</v>
      </c>
      <c r="K41" s="63">
        <f>SUM(F41:J41)</f>
        <v>22.25</v>
      </c>
      <c r="L41" s="100"/>
    </row>
    <row r="42" spans="4:12" x14ac:dyDescent="0.25">
      <c r="D42" s="167"/>
      <c r="E42" s="96" t="s">
        <v>21</v>
      </c>
      <c r="F42" s="62">
        <v>0</v>
      </c>
      <c r="G42" s="62">
        <v>4</v>
      </c>
      <c r="H42" s="62">
        <v>11</v>
      </c>
      <c r="I42" s="62">
        <v>9</v>
      </c>
      <c r="J42" s="69">
        <v>0.27300000000000002</v>
      </c>
      <c r="K42" s="63">
        <f>SUM(F42:J42)</f>
        <v>24.273</v>
      </c>
      <c r="L42" s="100"/>
    </row>
    <row r="43" spans="4:12" x14ac:dyDescent="0.25">
      <c r="D43" s="167"/>
      <c r="E43" s="96" t="s">
        <v>104</v>
      </c>
      <c r="F43" s="62">
        <v>0</v>
      </c>
      <c r="G43" s="62">
        <v>4</v>
      </c>
      <c r="H43" s="62">
        <v>9</v>
      </c>
      <c r="I43" s="62">
        <v>19</v>
      </c>
      <c r="J43" s="69">
        <v>0.36399999999999999</v>
      </c>
      <c r="K43" s="63">
        <f>SUM(F43:J43)</f>
        <v>32.363999999999997</v>
      </c>
      <c r="L43" s="100"/>
    </row>
    <row r="44" spans="4:12" x14ac:dyDescent="0.25">
      <c r="D44" s="167"/>
      <c r="E44" s="96" t="s">
        <v>11</v>
      </c>
      <c r="F44" s="62">
        <v>0</v>
      </c>
      <c r="G44" s="62">
        <v>0</v>
      </c>
      <c r="H44" s="62">
        <v>1</v>
      </c>
      <c r="I44" s="62">
        <v>5</v>
      </c>
      <c r="J44" s="69">
        <v>6.8000000000000005E-2</v>
      </c>
      <c r="K44" s="63">
        <f>SUM(F44:J44)</f>
        <v>6.0679999999999996</v>
      </c>
      <c r="L44" s="100"/>
    </row>
    <row r="45" spans="4:12" x14ac:dyDescent="0.25">
      <c r="D45" s="168" t="s">
        <v>7</v>
      </c>
      <c r="E45" s="168"/>
      <c r="F45" s="64">
        <f>SUM(F40:F44)</f>
        <v>4</v>
      </c>
      <c r="G45" s="64">
        <f t="shared" ref="G45:I45" si="3">SUM(G40:G44)</f>
        <v>14</v>
      </c>
      <c r="H45" s="64">
        <f t="shared" si="3"/>
        <v>27</v>
      </c>
      <c r="I45" s="64">
        <f t="shared" si="3"/>
        <v>43</v>
      </c>
      <c r="J45" s="68">
        <f>SUM(J40:J44)</f>
        <v>1</v>
      </c>
      <c r="K45" s="64">
        <v>88</v>
      </c>
    </row>
    <row r="48" spans="4:12" x14ac:dyDescent="0.25">
      <c r="D48" s="166" t="s">
        <v>208</v>
      </c>
      <c r="E48" s="166"/>
      <c r="F48" s="166"/>
      <c r="G48" s="166"/>
      <c r="H48" s="166"/>
      <c r="I48" s="166"/>
      <c r="J48" s="166"/>
      <c r="K48" s="166"/>
    </row>
    <row r="49" spans="4:12" x14ac:dyDescent="0.25">
      <c r="D49" s="167" t="s">
        <v>0</v>
      </c>
      <c r="E49" s="167"/>
      <c r="F49" s="167" t="s">
        <v>169</v>
      </c>
      <c r="G49" s="167"/>
      <c r="H49" s="167"/>
      <c r="I49" s="167"/>
      <c r="J49" s="169" t="s">
        <v>59</v>
      </c>
      <c r="K49" s="167" t="s">
        <v>7</v>
      </c>
    </row>
    <row r="50" spans="4:12" x14ac:dyDescent="0.25">
      <c r="D50" s="167"/>
      <c r="E50" s="167"/>
      <c r="F50" s="96" t="s">
        <v>167</v>
      </c>
      <c r="G50" s="96" t="s">
        <v>4</v>
      </c>
      <c r="H50" s="96" t="s">
        <v>5</v>
      </c>
      <c r="I50" s="96" t="s">
        <v>6</v>
      </c>
      <c r="J50" s="170"/>
      <c r="K50" s="167"/>
    </row>
    <row r="51" spans="4:12" x14ac:dyDescent="0.25">
      <c r="D51" s="167" t="s">
        <v>126</v>
      </c>
      <c r="E51" s="96" t="s">
        <v>0</v>
      </c>
      <c r="F51" s="62">
        <v>4</v>
      </c>
      <c r="G51" s="62">
        <v>1</v>
      </c>
      <c r="H51" s="62">
        <v>0</v>
      </c>
      <c r="I51" s="62">
        <v>0</v>
      </c>
      <c r="J51" s="69">
        <v>5.7000000000000002E-2</v>
      </c>
      <c r="K51" s="63">
        <f>SUM(F51:J51)</f>
        <v>5.0570000000000004</v>
      </c>
      <c r="L51" s="100"/>
    </row>
    <row r="52" spans="4:12" x14ac:dyDescent="0.25">
      <c r="D52" s="167"/>
      <c r="E52" s="96" t="s">
        <v>8</v>
      </c>
      <c r="F52" s="62">
        <v>0</v>
      </c>
      <c r="G52" s="62">
        <v>3</v>
      </c>
      <c r="H52" s="62">
        <v>4</v>
      </c>
      <c r="I52" s="62">
        <v>9</v>
      </c>
      <c r="J52" s="69">
        <v>0.182</v>
      </c>
      <c r="K52" s="63">
        <f>SUM(F52:J52)</f>
        <v>16.181999999999999</v>
      </c>
      <c r="L52" s="100"/>
    </row>
    <row r="53" spans="4:12" x14ac:dyDescent="0.25">
      <c r="D53" s="167"/>
      <c r="E53" s="96" t="s">
        <v>21</v>
      </c>
      <c r="F53" s="62">
        <v>0</v>
      </c>
      <c r="G53" s="62">
        <v>7</v>
      </c>
      <c r="H53" s="62">
        <v>14</v>
      </c>
      <c r="I53" s="62">
        <v>10</v>
      </c>
      <c r="J53" s="69">
        <v>0.35199999999999998</v>
      </c>
      <c r="K53" s="63">
        <f>SUM(F53:J53)</f>
        <v>31.352</v>
      </c>
      <c r="L53" s="100"/>
    </row>
    <row r="54" spans="4:12" x14ac:dyDescent="0.25">
      <c r="D54" s="167"/>
      <c r="E54" s="96" t="s">
        <v>104</v>
      </c>
      <c r="F54" s="62">
        <v>0</v>
      </c>
      <c r="G54" s="62">
        <v>2</v>
      </c>
      <c r="H54" s="62">
        <v>5</v>
      </c>
      <c r="I54" s="62">
        <v>9</v>
      </c>
      <c r="J54" s="69">
        <v>0.182</v>
      </c>
      <c r="K54" s="63">
        <f>SUM(F54:J54)</f>
        <v>16.181999999999999</v>
      </c>
      <c r="L54" s="100"/>
    </row>
    <row r="55" spans="4:12" x14ac:dyDescent="0.25">
      <c r="D55" s="167"/>
      <c r="E55" s="96" t="s">
        <v>11</v>
      </c>
      <c r="F55" s="62">
        <v>0</v>
      </c>
      <c r="G55" s="62">
        <v>1</v>
      </c>
      <c r="H55" s="62">
        <v>4</v>
      </c>
      <c r="I55" s="62">
        <v>15</v>
      </c>
      <c r="J55" s="69">
        <v>0.22700000000000001</v>
      </c>
      <c r="K55" s="63">
        <f>SUM(F55:J55)</f>
        <v>20.227</v>
      </c>
      <c r="L55" s="100"/>
    </row>
    <row r="56" spans="4:12" x14ac:dyDescent="0.25">
      <c r="D56" s="168" t="s">
        <v>7</v>
      </c>
      <c r="E56" s="168"/>
      <c r="F56" s="64">
        <f>SUM(F51:F55)</f>
        <v>4</v>
      </c>
      <c r="G56" s="64">
        <f t="shared" ref="G56:I56" si="4">SUM(G51:G55)</f>
        <v>14</v>
      </c>
      <c r="H56" s="64">
        <f t="shared" si="4"/>
        <v>27</v>
      </c>
      <c r="I56" s="64">
        <f t="shared" si="4"/>
        <v>43</v>
      </c>
      <c r="J56" s="68">
        <f>SUM(J51:J55)</f>
        <v>0.99999999999999989</v>
      </c>
      <c r="K56" s="64">
        <v>88</v>
      </c>
      <c r="L56" s="100"/>
    </row>
    <row r="59" spans="4:12" x14ac:dyDescent="0.25">
      <c r="D59" s="166" t="s">
        <v>209</v>
      </c>
      <c r="E59" s="166"/>
      <c r="F59" s="166"/>
      <c r="G59" s="166"/>
      <c r="H59" s="166"/>
      <c r="I59" s="166"/>
      <c r="J59" s="166"/>
      <c r="K59" s="166"/>
    </row>
    <row r="60" spans="4:12" x14ac:dyDescent="0.25">
      <c r="D60" s="167" t="s">
        <v>0</v>
      </c>
      <c r="E60" s="167"/>
      <c r="F60" s="167" t="s">
        <v>169</v>
      </c>
      <c r="G60" s="167"/>
      <c r="H60" s="167"/>
      <c r="I60" s="167"/>
      <c r="J60" s="169" t="s">
        <v>59</v>
      </c>
      <c r="K60" s="167" t="s">
        <v>7</v>
      </c>
    </row>
    <row r="61" spans="4:12" x14ac:dyDescent="0.25">
      <c r="D61" s="167"/>
      <c r="E61" s="167"/>
      <c r="F61" s="96" t="s">
        <v>167</v>
      </c>
      <c r="G61" s="96" t="s">
        <v>4</v>
      </c>
      <c r="H61" s="96" t="s">
        <v>5</v>
      </c>
      <c r="I61" s="96" t="s">
        <v>6</v>
      </c>
      <c r="J61" s="170"/>
      <c r="K61" s="167"/>
    </row>
    <row r="62" spans="4:12" x14ac:dyDescent="0.25">
      <c r="D62" s="167" t="s">
        <v>127</v>
      </c>
      <c r="E62" s="96" t="s">
        <v>0</v>
      </c>
      <c r="F62" s="62">
        <v>4</v>
      </c>
      <c r="G62" s="62">
        <v>0</v>
      </c>
      <c r="H62" s="62">
        <v>0</v>
      </c>
      <c r="I62" s="62">
        <v>0</v>
      </c>
      <c r="J62" s="69">
        <v>4.4999999999999998E-2</v>
      </c>
      <c r="K62" s="63">
        <f>SUM(F62:J62)</f>
        <v>4.0449999999999999</v>
      </c>
      <c r="L62" s="100"/>
    </row>
    <row r="63" spans="4:12" x14ac:dyDescent="0.25">
      <c r="D63" s="167"/>
      <c r="E63" s="96" t="s">
        <v>8</v>
      </c>
      <c r="F63" s="62">
        <v>0</v>
      </c>
      <c r="G63" s="62">
        <v>1</v>
      </c>
      <c r="H63" s="62">
        <v>1</v>
      </c>
      <c r="I63" s="62">
        <v>4</v>
      </c>
      <c r="J63" s="69">
        <v>6.9000000000000006E-2</v>
      </c>
      <c r="K63" s="63">
        <f>SUM(F63:J63)</f>
        <v>6.069</v>
      </c>
      <c r="L63" s="100"/>
    </row>
    <row r="64" spans="4:12" x14ac:dyDescent="0.25">
      <c r="D64" s="167"/>
      <c r="E64" s="96" t="s">
        <v>21</v>
      </c>
      <c r="F64" s="62">
        <v>0</v>
      </c>
      <c r="G64" s="62">
        <v>12</v>
      </c>
      <c r="H64" s="62">
        <v>23</v>
      </c>
      <c r="I64" s="62">
        <v>24</v>
      </c>
      <c r="J64" s="69">
        <v>0.67</v>
      </c>
      <c r="K64" s="63">
        <f>SUM(F64:J64)</f>
        <v>59.67</v>
      </c>
      <c r="L64" s="100"/>
    </row>
    <row r="65" spans="4:12" x14ac:dyDescent="0.25">
      <c r="D65" s="167"/>
      <c r="E65" s="96" t="s">
        <v>104</v>
      </c>
      <c r="F65" s="62">
        <v>0</v>
      </c>
      <c r="G65" s="62">
        <v>0</v>
      </c>
      <c r="H65" s="62">
        <v>2</v>
      </c>
      <c r="I65" s="62">
        <v>3</v>
      </c>
      <c r="J65" s="69">
        <v>5.7000000000000002E-2</v>
      </c>
      <c r="K65" s="63">
        <f>SUM(F65:J65)</f>
        <v>5.0570000000000004</v>
      </c>
      <c r="L65" s="100"/>
    </row>
    <row r="66" spans="4:12" x14ac:dyDescent="0.25">
      <c r="D66" s="167"/>
      <c r="E66" s="96" t="s">
        <v>11</v>
      </c>
      <c r="F66" s="62">
        <v>0</v>
      </c>
      <c r="G66" s="62">
        <v>1</v>
      </c>
      <c r="H66" s="62">
        <v>1</v>
      </c>
      <c r="I66" s="62">
        <v>12</v>
      </c>
      <c r="J66" s="69">
        <v>0.159</v>
      </c>
      <c r="K66" s="63">
        <f>SUM(F66:J66)</f>
        <v>14.159000000000001</v>
      </c>
      <c r="L66" s="100"/>
    </row>
    <row r="67" spans="4:12" x14ac:dyDescent="0.25">
      <c r="D67" s="168" t="s">
        <v>7</v>
      </c>
      <c r="E67" s="168"/>
      <c r="F67" s="64">
        <f>SUM(F62:F66)</f>
        <v>4</v>
      </c>
      <c r="G67" s="64">
        <f t="shared" ref="G67:I67" si="5">SUM(G62:G66)</f>
        <v>14</v>
      </c>
      <c r="H67" s="64">
        <f t="shared" si="5"/>
        <v>27</v>
      </c>
      <c r="I67" s="64">
        <f t="shared" si="5"/>
        <v>43</v>
      </c>
      <c r="J67" s="68">
        <f>SUM(J62:J66)</f>
        <v>1</v>
      </c>
      <c r="K67" s="64">
        <v>88</v>
      </c>
    </row>
    <row r="70" spans="4:12" x14ac:dyDescent="0.25">
      <c r="D70" s="166" t="s">
        <v>210</v>
      </c>
      <c r="E70" s="166"/>
      <c r="F70" s="166"/>
      <c r="G70" s="166"/>
      <c r="H70" s="166"/>
      <c r="I70" s="166"/>
      <c r="J70" s="166"/>
      <c r="K70" s="166"/>
    </row>
    <row r="71" spans="4:12" x14ac:dyDescent="0.25">
      <c r="D71" s="167" t="s">
        <v>0</v>
      </c>
      <c r="E71" s="167"/>
      <c r="F71" s="167" t="s">
        <v>169</v>
      </c>
      <c r="G71" s="167"/>
      <c r="H71" s="167"/>
      <c r="I71" s="167"/>
      <c r="J71" s="169" t="s">
        <v>59</v>
      </c>
      <c r="K71" s="167" t="s">
        <v>7</v>
      </c>
    </row>
    <row r="72" spans="4:12" x14ac:dyDescent="0.25">
      <c r="D72" s="167"/>
      <c r="E72" s="167"/>
      <c r="F72" s="96" t="s">
        <v>167</v>
      </c>
      <c r="G72" s="96" t="s">
        <v>4</v>
      </c>
      <c r="H72" s="96" t="s">
        <v>5</v>
      </c>
      <c r="I72" s="96" t="s">
        <v>6</v>
      </c>
      <c r="J72" s="170"/>
      <c r="K72" s="167"/>
    </row>
    <row r="73" spans="4:12" x14ac:dyDescent="0.25">
      <c r="D73" s="167" t="s">
        <v>128</v>
      </c>
      <c r="E73" s="96" t="s">
        <v>0</v>
      </c>
      <c r="F73" s="62">
        <v>4</v>
      </c>
      <c r="G73" s="62">
        <v>0</v>
      </c>
      <c r="H73" s="62">
        <v>0</v>
      </c>
      <c r="I73" s="62">
        <v>1</v>
      </c>
      <c r="J73" s="69">
        <v>5.7000000000000002E-2</v>
      </c>
      <c r="K73" s="63">
        <f>SUM(F73:J73)</f>
        <v>5.0570000000000004</v>
      </c>
      <c r="L73" s="100"/>
    </row>
    <row r="74" spans="4:12" x14ac:dyDescent="0.25">
      <c r="D74" s="167"/>
      <c r="E74" s="96" t="s">
        <v>8</v>
      </c>
      <c r="F74" s="62">
        <v>0</v>
      </c>
      <c r="G74" s="62">
        <v>7</v>
      </c>
      <c r="H74" s="62">
        <v>4</v>
      </c>
      <c r="I74" s="62">
        <v>19</v>
      </c>
      <c r="J74" s="69">
        <v>0.34100000000000003</v>
      </c>
      <c r="K74" s="63">
        <f>SUM(F74:J74)</f>
        <v>30.341000000000001</v>
      </c>
      <c r="L74" s="100"/>
    </row>
    <row r="75" spans="4:12" x14ac:dyDescent="0.25">
      <c r="D75" s="167"/>
      <c r="E75" s="96" t="s">
        <v>21</v>
      </c>
      <c r="F75" s="62">
        <v>0</v>
      </c>
      <c r="G75" s="62">
        <v>6</v>
      </c>
      <c r="H75" s="62">
        <v>19</v>
      </c>
      <c r="I75" s="62">
        <v>12</v>
      </c>
      <c r="J75" s="69">
        <v>0.42</v>
      </c>
      <c r="K75" s="63">
        <f>SUM(F75:J75)</f>
        <v>37.42</v>
      </c>
      <c r="L75" s="100"/>
    </row>
    <row r="76" spans="4:12" x14ac:dyDescent="0.25">
      <c r="D76" s="167"/>
      <c r="E76" s="96" t="s">
        <v>104</v>
      </c>
      <c r="F76" s="62">
        <v>0</v>
      </c>
      <c r="G76" s="62">
        <v>1</v>
      </c>
      <c r="H76" s="62">
        <v>4</v>
      </c>
      <c r="I76" s="62">
        <v>7</v>
      </c>
      <c r="J76" s="69">
        <v>0.13700000000000001</v>
      </c>
      <c r="K76" s="63">
        <f>SUM(F76:J76)</f>
        <v>12.137</v>
      </c>
      <c r="L76" s="100"/>
    </row>
    <row r="77" spans="4:12" x14ac:dyDescent="0.25">
      <c r="D77" s="167"/>
      <c r="E77" s="96" t="s">
        <v>11</v>
      </c>
      <c r="F77" s="62">
        <v>0</v>
      </c>
      <c r="G77" s="62">
        <v>0</v>
      </c>
      <c r="H77" s="62">
        <v>0</v>
      </c>
      <c r="I77" s="62">
        <v>4</v>
      </c>
      <c r="J77" s="69">
        <v>4.4999999999999998E-2</v>
      </c>
      <c r="K77" s="63">
        <f>SUM(F77:J77)</f>
        <v>4.0449999999999999</v>
      </c>
      <c r="L77" s="100"/>
    </row>
    <row r="78" spans="4:12" x14ac:dyDescent="0.25">
      <c r="D78" s="168" t="s">
        <v>7</v>
      </c>
      <c r="E78" s="168"/>
      <c r="F78" s="64">
        <f>SUM(F73:F77)</f>
        <v>4</v>
      </c>
      <c r="G78" s="64">
        <f t="shared" ref="G78:I78" si="6">SUM(G73:G77)</f>
        <v>14</v>
      </c>
      <c r="H78" s="64">
        <f t="shared" si="6"/>
        <v>27</v>
      </c>
      <c r="I78" s="64">
        <f t="shared" si="6"/>
        <v>43</v>
      </c>
      <c r="J78" s="68">
        <f>SUM(J73:J77)</f>
        <v>1</v>
      </c>
      <c r="K78" s="64">
        <v>88</v>
      </c>
    </row>
    <row r="81" spans="4:12" x14ac:dyDescent="0.25">
      <c r="D81" s="166" t="s">
        <v>211</v>
      </c>
      <c r="E81" s="166"/>
      <c r="F81" s="166"/>
      <c r="G81" s="166"/>
      <c r="H81" s="166"/>
      <c r="I81" s="166"/>
      <c r="J81" s="166"/>
      <c r="K81" s="166"/>
    </row>
    <row r="82" spans="4:12" x14ac:dyDescent="0.25">
      <c r="D82" s="167" t="s">
        <v>0</v>
      </c>
      <c r="E82" s="167"/>
      <c r="F82" s="167" t="s">
        <v>169</v>
      </c>
      <c r="G82" s="167"/>
      <c r="H82" s="167"/>
      <c r="I82" s="167"/>
      <c r="J82" s="169" t="s">
        <v>59</v>
      </c>
      <c r="K82" s="167" t="s">
        <v>7</v>
      </c>
    </row>
    <row r="83" spans="4:12" x14ac:dyDescent="0.25">
      <c r="D83" s="167"/>
      <c r="E83" s="167"/>
      <c r="F83" s="96" t="s">
        <v>167</v>
      </c>
      <c r="G83" s="96" t="s">
        <v>4</v>
      </c>
      <c r="H83" s="96" t="s">
        <v>5</v>
      </c>
      <c r="I83" s="96" t="s">
        <v>6</v>
      </c>
      <c r="J83" s="170"/>
      <c r="K83" s="167"/>
    </row>
    <row r="84" spans="4:12" x14ac:dyDescent="0.25">
      <c r="D84" s="167" t="s">
        <v>129</v>
      </c>
      <c r="E84" s="96" t="s">
        <v>0</v>
      </c>
      <c r="F84" s="62">
        <v>4</v>
      </c>
      <c r="G84" s="62">
        <v>1</v>
      </c>
      <c r="H84" s="62">
        <v>0</v>
      </c>
      <c r="I84" s="62">
        <v>0</v>
      </c>
      <c r="J84" s="69">
        <v>5.7000000000000002E-2</v>
      </c>
      <c r="K84" s="63">
        <f>SUM(F84:J84)</f>
        <v>5.0570000000000004</v>
      </c>
      <c r="L84" s="100"/>
    </row>
    <row r="85" spans="4:12" x14ac:dyDescent="0.25">
      <c r="D85" s="167"/>
      <c r="E85" s="96" t="s">
        <v>8</v>
      </c>
      <c r="F85" s="62">
        <v>0</v>
      </c>
      <c r="G85" s="62">
        <v>7</v>
      </c>
      <c r="H85" s="62">
        <v>11</v>
      </c>
      <c r="I85" s="62">
        <v>12</v>
      </c>
      <c r="J85" s="69">
        <v>0.34100000000000003</v>
      </c>
      <c r="K85" s="63">
        <f>SUM(F85:J85)</f>
        <v>30.341000000000001</v>
      </c>
      <c r="L85" s="100"/>
    </row>
    <row r="86" spans="4:12" x14ac:dyDescent="0.25">
      <c r="D86" s="167"/>
      <c r="E86" s="96" t="s">
        <v>21</v>
      </c>
      <c r="F86" s="62">
        <v>0</v>
      </c>
      <c r="G86" s="62">
        <v>4</v>
      </c>
      <c r="H86" s="62">
        <v>11</v>
      </c>
      <c r="I86" s="62">
        <v>13</v>
      </c>
      <c r="J86" s="69">
        <v>0.318</v>
      </c>
      <c r="K86" s="63">
        <f>SUM(F86:J86)</f>
        <v>28.318000000000001</v>
      </c>
      <c r="L86" s="100"/>
    </row>
    <row r="87" spans="4:12" x14ac:dyDescent="0.25">
      <c r="D87" s="167"/>
      <c r="E87" s="96" t="s">
        <v>104</v>
      </c>
      <c r="F87" s="62">
        <v>0</v>
      </c>
      <c r="G87" s="62">
        <v>2</v>
      </c>
      <c r="H87" s="62">
        <v>5</v>
      </c>
      <c r="I87" s="62">
        <v>14</v>
      </c>
      <c r="J87" s="69">
        <v>0.23899999999999999</v>
      </c>
      <c r="K87" s="63">
        <f>SUM(F87:J87)</f>
        <v>21.239000000000001</v>
      </c>
      <c r="L87" s="100"/>
    </row>
    <row r="88" spans="4:12" x14ac:dyDescent="0.25">
      <c r="D88" s="167"/>
      <c r="E88" s="96" t="s">
        <v>11</v>
      </c>
      <c r="F88" s="62">
        <v>0</v>
      </c>
      <c r="G88" s="62">
        <v>0</v>
      </c>
      <c r="H88" s="62">
        <v>0</v>
      </c>
      <c r="I88" s="62">
        <v>4</v>
      </c>
      <c r="J88" s="69">
        <v>4.4999999999999998E-2</v>
      </c>
      <c r="K88" s="63">
        <f>SUM(F88:J88)</f>
        <v>4.0449999999999999</v>
      </c>
      <c r="L88" s="100"/>
    </row>
    <row r="89" spans="4:12" x14ac:dyDescent="0.25">
      <c r="D89" s="168" t="s">
        <v>7</v>
      </c>
      <c r="E89" s="168"/>
      <c r="F89" s="64">
        <f>SUM(F84:F88)</f>
        <v>4</v>
      </c>
      <c r="G89" s="64">
        <f t="shared" ref="G89:I89" si="7">SUM(G84:G88)</f>
        <v>14</v>
      </c>
      <c r="H89" s="64">
        <f t="shared" si="7"/>
        <v>27</v>
      </c>
      <c r="I89" s="64">
        <f t="shared" si="7"/>
        <v>43</v>
      </c>
      <c r="J89" s="68">
        <f>SUM(J84:J88)</f>
        <v>1</v>
      </c>
      <c r="K89" s="64">
        <v>88</v>
      </c>
    </row>
    <row r="92" spans="4:12" x14ac:dyDescent="0.25">
      <c r="D92" s="166" t="s">
        <v>212</v>
      </c>
      <c r="E92" s="166"/>
      <c r="F92" s="166"/>
      <c r="G92" s="166"/>
      <c r="H92" s="166"/>
      <c r="I92" s="166"/>
      <c r="J92" s="166"/>
      <c r="K92" s="166"/>
    </row>
    <row r="93" spans="4:12" x14ac:dyDescent="0.25">
      <c r="D93" s="167" t="s">
        <v>0</v>
      </c>
      <c r="E93" s="167"/>
      <c r="F93" s="167" t="s">
        <v>169</v>
      </c>
      <c r="G93" s="167"/>
      <c r="H93" s="167"/>
      <c r="I93" s="167"/>
      <c r="J93" s="169" t="s">
        <v>59</v>
      </c>
      <c r="K93" s="167" t="s">
        <v>7</v>
      </c>
    </row>
    <row r="94" spans="4:12" x14ac:dyDescent="0.25">
      <c r="D94" s="167"/>
      <c r="E94" s="167"/>
      <c r="F94" s="96" t="s">
        <v>167</v>
      </c>
      <c r="G94" s="96" t="s">
        <v>4</v>
      </c>
      <c r="H94" s="96" t="s">
        <v>5</v>
      </c>
      <c r="I94" s="96" t="s">
        <v>6</v>
      </c>
      <c r="J94" s="170"/>
      <c r="K94" s="167"/>
    </row>
    <row r="95" spans="4:12" x14ac:dyDescent="0.25">
      <c r="D95" s="167" t="s">
        <v>130</v>
      </c>
      <c r="E95" s="96" t="s">
        <v>0</v>
      </c>
      <c r="F95" s="62">
        <v>4</v>
      </c>
      <c r="G95" s="62">
        <v>0</v>
      </c>
      <c r="H95" s="62">
        <v>0</v>
      </c>
      <c r="I95" s="62">
        <v>0</v>
      </c>
      <c r="J95" s="69">
        <v>4.4999999999999998E-2</v>
      </c>
      <c r="K95" s="63">
        <f>SUM(F95:J95)</f>
        <v>4.0449999999999999</v>
      </c>
      <c r="L95" s="100"/>
    </row>
    <row r="96" spans="4:12" x14ac:dyDescent="0.25">
      <c r="D96" s="167"/>
      <c r="E96" s="96" t="s">
        <v>8</v>
      </c>
      <c r="F96" s="62">
        <v>0</v>
      </c>
      <c r="G96" s="62">
        <v>7</v>
      </c>
      <c r="H96" s="62">
        <v>12</v>
      </c>
      <c r="I96" s="62">
        <v>11</v>
      </c>
      <c r="J96" s="69">
        <v>0.34100000000000003</v>
      </c>
      <c r="K96" s="63">
        <f>SUM(F96:J96)</f>
        <v>30.341000000000001</v>
      </c>
      <c r="L96" s="100"/>
    </row>
    <row r="97" spans="4:12" x14ac:dyDescent="0.25">
      <c r="D97" s="167"/>
      <c r="E97" s="96" t="s">
        <v>21</v>
      </c>
      <c r="F97" s="62">
        <v>0</v>
      </c>
      <c r="G97" s="62">
        <v>6</v>
      </c>
      <c r="H97" s="62">
        <v>12</v>
      </c>
      <c r="I97" s="62">
        <v>16</v>
      </c>
      <c r="J97" s="69">
        <v>0.38600000000000001</v>
      </c>
      <c r="K97" s="63">
        <f>SUM(F97:J97)</f>
        <v>34.386000000000003</v>
      </c>
      <c r="L97" s="100"/>
    </row>
    <row r="98" spans="4:12" x14ac:dyDescent="0.25">
      <c r="D98" s="167"/>
      <c r="E98" s="96" t="s">
        <v>104</v>
      </c>
      <c r="F98" s="62">
        <v>0</v>
      </c>
      <c r="G98" s="62">
        <v>1</v>
      </c>
      <c r="H98" s="62">
        <v>3</v>
      </c>
      <c r="I98" s="62">
        <v>9</v>
      </c>
      <c r="J98" s="69">
        <v>0.14799999999999999</v>
      </c>
      <c r="K98" s="63">
        <f>SUM(F98:J98)</f>
        <v>13.148</v>
      </c>
      <c r="L98" s="100"/>
    </row>
    <row r="99" spans="4:12" x14ac:dyDescent="0.25">
      <c r="D99" s="167"/>
      <c r="E99" s="96" t="s">
        <v>11</v>
      </c>
      <c r="F99" s="62">
        <v>0</v>
      </c>
      <c r="G99" s="62">
        <v>0</v>
      </c>
      <c r="H99" s="62">
        <v>0</v>
      </c>
      <c r="I99" s="62">
        <v>7</v>
      </c>
      <c r="J99" s="69">
        <v>0.08</v>
      </c>
      <c r="K99" s="63">
        <f>SUM(F99:J99)</f>
        <v>7.08</v>
      </c>
      <c r="L99" s="100"/>
    </row>
    <row r="100" spans="4:12" x14ac:dyDescent="0.25">
      <c r="D100" s="168" t="s">
        <v>7</v>
      </c>
      <c r="E100" s="168"/>
      <c r="F100" s="64">
        <f>SUM(F95:F99)</f>
        <v>4</v>
      </c>
      <c r="G100" s="64">
        <f t="shared" ref="G100:I100" si="8">SUM(G95:G99)</f>
        <v>14</v>
      </c>
      <c r="H100" s="64">
        <f t="shared" si="8"/>
        <v>27</v>
      </c>
      <c r="I100" s="64">
        <f t="shared" si="8"/>
        <v>43</v>
      </c>
      <c r="J100" s="68">
        <f>SUM(J95:J99)</f>
        <v>1</v>
      </c>
      <c r="K100" s="64">
        <v>88</v>
      </c>
    </row>
    <row r="103" spans="4:12" x14ac:dyDescent="0.25">
      <c r="D103" s="166" t="s">
        <v>213</v>
      </c>
      <c r="E103" s="166"/>
      <c r="F103" s="166"/>
      <c r="G103" s="166"/>
      <c r="H103" s="166"/>
      <c r="I103" s="166"/>
      <c r="J103" s="166"/>
      <c r="K103" s="166"/>
    </row>
    <row r="104" spans="4:12" x14ac:dyDescent="0.25">
      <c r="D104" s="167" t="s">
        <v>0</v>
      </c>
      <c r="E104" s="167"/>
      <c r="F104" s="167" t="s">
        <v>169</v>
      </c>
      <c r="G104" s="167"/>
      <c r="H104" s="167"/>
      <c r="I104" s="167"/>
      <c r="J104" s="169" t="s">
        <v>59</v>
      </c>
      <c r="K104" s="167" t="s">
        <v>7</v>
      </c>
    </row>
    <row r="105" spans="4:12" x14ac:dyDescent="0.25">
      <c r="D105" s="167"/>
      <c r="E105" s="167"/>
      <c r="F105" s="96" t="s">
        <v>167</v>
      </c>
      <c r="G105" s="96" t="s">
        <v>4</v>
      </c>
      <c r="H105" s="96" t="s">
        <v>5</v>
      </c>
      <c r="I105" s="96" t="s">
        <v>6</v>
      </c>
      <c r="J105" s="170"/>
      <c r="K105" s="167"/>
    </row>
    <row r="106" spans="4:12" x14ac:dyDescent="0.25">
      <c r="D106" s="167" t="s">
        <v>131</v>
      </c>
      <c r="E106" s="96" t="s">
        <v>0</v>
      </c>
      <c r="F106" s="62">
        <v>4</v>
      </c>
      <c r="G106" s="62">
        <v>14</v>
      </c>
      <c r="H106" s="62">
        <v>20</v>
      </c>
      <c r="I106" s="62">
        <v>40</v>
      </c>
      <c r="J106" s="69">
        <v>0.89600000000000002</v>
      </c>
      <c r="K106" s="63">
        <f t="shared" ref="K106:K111" si="9">SUM(F106:J106)</f>
        <v>78.896000000000001</v>
      </c>
      <c r="L106" s="100"/>
    </row>
    <row r="107" spans="4:12" x14ac:dyDescent="0.25">
      <c r="D107" s="167"/>
      <c r="E107" s="96" t="s">
        <v>105</v>
      </c>
      <c r="F107" s="62">
        <v>0</v>
      </c>
      <c r="G107" s="62">
        <v>0</v>
      </c>
      <c r="H107" s="62">
        <v>1</v>
      </c>
      <c r="I107" s="62">
        <v>0</v>
      </c>
      <c r="J107" s="69">
        <v>1.0999999999999999E-2</v>
      </c>
      <c r="K107" s="63">
        <f t="shared" si="9"/>
        <v>1.0109999999999999</v>
      </c>
      <c r="L107" s="100"/>
    </row>
    <row r="108" spans="4:12" x14ac:dyDescent="0.25">
      <c r="D108" s="167"/>
      <c r="E108" s="96" t="s">
        <v>106</v>
      </c>
      <c r="F108" s="62">
        <v>0</v>
      </c>
      <c r="G108" s="62">
        <v>0</v>
      </c>
      <c r="H108" s="62">
        <v>0</v>
      </c>
      <c r="I108" s="62">
        <v>1</v>
      </c>
      <c r="J108" s="69">
        <v>1.0999999999999999E-2</v>
      </c>
      <c r="K108" s="63">
        <f t="shared" si="9"/>
        <v>1.0109999999999999</v>
      </c>
      <c r="L108" s="100"/>
    </row>
    <row r="109" spans="4:12" x14ac:dyDescent="0.25">
      <c r="D109" s="167"/>
      <c r="E109" s="96" t="s">
        <v>107</v>
      </c>
      <c r="F109" s="62">
        <v>0</v>
      </c>
      <c r="G109" s="62">
        <v>0</v>
      </c>
      <c r="H109" s="62">
        <v>5</v>
      </c>
      <c r="I109" s="62">
        <v>0</v>
      </c>
      <c r="J109" s="69">
        <v>0.06</v>
      </c>
      <c r="K109" s="63">
        <f t="shared" si="9"/>
        <v>5.0599999999999996</v>
      </c>
      <c r="L109" s="100"/>
    </row>
    <row r="110" spans="4:12" x14ac:dyDescent="0.25">
      <c r="D110" s="167"/>
      <c r="E110" s="96" t="s">
        <v>108</v>
      </c>
      <c r="F110" s="62">
        <v>0</v>
      </c>
      <c r="G110" s="62">
        <v>0</v>
      </c>
      <c r="H110" s="62">
        <v>0</v>
      </c>
      <c r="I110" s="62">
        <v>1</v>
      </c>
      <c r="J110" s="69">
        <v>1.0999999999999999E-2</v>
      </c>
      <c r="K110" s="63">
        <f t="shared" si="9"/>
        <v>1.0109999999999999</v>
      </c>
      <c r="L110" s="100"/>
    </row>
    <row r="111" spans="4:12" ht="24" x14ac:dyDescent="0.25">
      <c r="D111" s="167"/>
      <c r="E111" s="96" t="s">
        <v>111</v>
      </c>
      <c r="F111" s="62">
        <v>0</v>
      </c>
      <c r="G111" s="62">
        <v>0</v>
      </c>
      <c r="H111" s="62">
        <v>1</v>
      </c>
      <c r="I111" s="62">
        <v>0</v>
      </c>
      <c r="J111" s="69">
        <v>1.0999999999999999E-2</v>
      </c>
      <c r="K111" s="63">
        <f t="shared" si="9"/>
        <v>1.0109999999999999</v>
      </c>
      <c r="L111" s="100"/>
    </row>
    <row r="112" spans="4:12" x14ac:dyDescent="0.25">
      <c r="D112" s="168" t="s">
        <v>7</v>
      </c>
      <c r="E112" s="168"/>
      <c r="F112" s="64">
        <f>SUM(F106:F111)</f>
        <v>4</v>
      </c>
      <c r="G112" s="64">
        <f t="shared" ref="G112:I112" si="10">SUM(G106:G111)</f>
        <v>14</v>
      </c>
      <c r="H112" s="64">
        <f t="shared" si="10"/>
        <v>27</v>
      </c>
      <c r="I112" s="64">
        <f t="shared" si="10"/>
        <v>42</v>
      </c>
      <c r="J112" s="68">
        <f>SUM(J106:J111)</f>
        <v>1</v>
      </c>
      <c r="K112" s="64">
        <v>88</v>
      </c>
    </row>
  </sheetData>
  <mergeCells count="71">
    <mergeCell ref="D7:D11"/>
    <mergeCell ref="D4:K4"/>
    <mergeCell ref="D5:E6"/>
    <mergeCell ref="F5:I5"/>
    <mergeCell ref="J5:J6"/>
    <mergeCell ref="K5:K6"/>
    <mergeCell ref="D12:E12"/>
    <mergeCell ref="D15:K15"/>
    <mergeCell ref="D16:E17"/>
    <mergeCell ref="F16:I16"/>
    <mergeCell ref="J16:J17"/>
    <mergeCell ref="K16:K17"/>
    <mergeCell ref="D18:D22"/>
    <mergeCell ref="D23:E23"/>
    <mergeCell ref="D26:K26"/>
    <mergeCell ref="D27:E28"/>
    <mergeCell ref="F27:I27"/>
    <mergeCell ref="J27:J28"/>
    <mergeCell ref="K27:K28"/>
    <mergeCell ref="D29:D33"/>
    <mergeCell ref="D34:E34"/>
    <mergeCell ref="D37:K37"/>
    <mergeCell ref="D38:E39"/>
    <mergeCell ref="F38:I38"/>
    <mergeCell ref="J38:J39"/>
    <mergeCell ref="K38:K39"/>
    <mergeCell ref="D40:D44"/>
    <mergeCell ref="D45:E45"/>
    <mergeCell ref="D48:K48"/>
    <mergeCell ref="D49:E50"/>
    <mergeCell ref="F49:I49"/>
    <mergeCell ref="J49:J50"/>
    <mergeCell ref="K49:K50"/>
    <mergeCell ref="D51:D55"/>
    <mergeCell ref="D56:E56"/>
    <mergeCell ref="D59:K59"/>
    <mergeCell ref="D60:E61"/>
    <mergeCell ref="F60:I60"/>
    <mergeCell ref="J60:J61"/>
    <mergeCell ref="K60:K61"/>
    <mergeCell ref="D62:D66"/>
    <mergeCell ref="D67:E67"/>
    <mergeCell ref="D70:K70"/>
    <mergeCell ref="D71:E72"/>
    <mergeCell ref="F71:I71"/>
    <mergeCell ref="J71:J72"/>
    <mergeCell ref="K71:K72"/>
    <mergeCell ref="K93:K94"/>
    <mergeCell ref="D73:D77"/>
    <mergeCell ref="D78:E78"/>
    <mergeCell ref="D81:K81"/>
    <mergeCell ref="D82:E83"/>
    <mergeCell ref="F82:I82"/>
    <mergeCell ref="J82:J83"/>
    <mergeCell ref="K82:K83"/>
    <mergeCell ref="D106:D111"/>
    <mergeCell ref="D112:E112"/>
    <mergeCell ref="D2:L2"/>
    <mergeCell ref="D95:D99"/>
    <mergeCell ref="D100:E100"/>
    <mergeCell ref="D103:K103"/>
    <mergeCell ref="D104:E105"/>
    <mergeCell ref="F104:I104"/>
    <mergeCell ref="J104:J105"/>
    <mergeCell ref="K104:K105"/>
    <mergeCell ref="D84:D88"/>
    <mergeCell ref="D89:E89"/>
    <mergeCell ref="D92:K92"/>
    <mergeCell ref="D93:E94"/>
    <mergeCell ref="F93:I93"/>
    <mergeCell ref="J93:J9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4"/>
  <sheetViews>
    <sheetView workbookViewId="0">
      <selection activeCell="B103" sqref="B103:H103"/>
    </sheetView>
  </sheetViews>
  <sheetFormatPr defaultColWidth="0" defaultRowHeight="15" zeroHeight="1" x14ac:dyDescent="0.25"/>
  <cols>
    <col min="1" max="1" width="6.140625" customWidth="1"/>
    <col min="2" max="2" width="32.42578125" customWidth="1"/>
    <col min="3" max="3" width="19.5703125" customWidth="1"/>
    <col min="4" max="4" width="17.140625" customWidth="1"/>
    <col min="5" max="6" width="9.140625" customWidth="1"/>
    <col min="7" max="7" width="13.85546875" customWidth="1"/>
    <col min="8" max="14" width="9.140625" customWidth="1"/>
    <col min="15" max="18" width="0" hidden="1" customWidth="1"/>
    <col min="19" max="16384" width="9.140625" hidden="1"/>
  </cols>
  <sheetData>
    <row r="1" spans="2:12" x14ac:dyDescent="0.25"/>
    <row r="2" spans="2:12" ht="15.75" x14ac:dyDescent="0.25">
      <c r="B2" s="173" t="s">
        <v>132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</row>
    <row r="3" spans="2:12" x14ac:dyDescent="0.25"/>
    <row r="4" spans="2:12" ht="28.5" customHeight="1" x14ac:dyDescent="0.25">
      <c r="B4" s="174" t="s">
        <v>134</v>
      </c>
      <c r="C4" s="174"/>
      <c r="D4" s="174"/>
      <c r="E4" s="174"/>
      <c r="F4" s="174"/>
      <c r="G4" s="174"/>
      <c r="H4" s="174"/>
      <c r="I4" s="74"/>
    </row>
    <row r="5" spans="2:12" x14ac:dyDescent="0.25">
      <c r="B5" s="175" t="s">
        <v>0</v>
      </c>
      <c r="C5" s="175"/>
      <c r="D5" s="175" t="s">
        <v>25</v>
      </c>
      <c r="E5" s="175"/>
      <c r="F5" s="175"/>
      <c r="G5" s="175" t="s">
        <v>59</v>
      </c>
      <c r="H5" s="175" t="s">
        <v>7</v>
      </c>
      <c r="I5" s="74"/>
    </row>
    <row r="6" spans="2:12" x14ac:dyDescent="0.25">
      <c r="B6" s="175"/>
      <c r="C6" s="175"/>
      <c r="D6" s="75" t="s">
        <v>47</v>
      </c>
      <c r="E6" s="75" t="s">
        <v>8</v>
      </c>
      <c r="F6" s="75" t="s">
        <v>9</v>
      </c>
      <c r="G6" s="175"/>
      <c r="H6" s="175"/>
      <c r="I6" s="74"/>
    </row>
    <row r="7" spans="2:12" x14ac:dyDescent="0.25">
      <c r="B7" s="175" t="s">
        <v>143</v>
      </c>
      <c r="C7" s="75" t="s">
        <v>0</v>
      </c>
      <c r="D7" s="76">
        <v>4</v>
      </c>
      <c r="E7" s="76">
        <v>0</v>
      </c>
      <c r="F7" s="76">
        <v>0</v>
      </c>
      <c r="G7" s="79">
        <v>4.4999999999999998E-2</v>
      </c>
      <c r="H7" s="77">
        <v>4</v>
      </c>
      <c r="I7" s="74"/>
    </row>
    <row r="8" spans="2:12" x14ac:dyDescent="0.25">
      <c r="B8" s="175"/>
      <c r="C8" s="75" t="s">
        <v>31</v>
      </c>
      <c r="D8" s="76">
        <v>0</v>
      </c>
      <c r="E8" s="76">
        <v>25</v>
      </c>
      <c r="F8" s="76">
        <v>4</v>
      </c>
      <c r="G8" s="79">
        <v>0.33</v>
      </c>
      <c r="H8" s="77">
        <v>29</v>
      </c>
      <c r="I8" s="74"/>
    </row>
    <row r="9" spans="2:12" x14ac:dyDescent="0.25">
      <c r="B9" s="175"/>
      <c r="C9" s="75" t="s">
        <v>32</v>
      </c>
      <c r="D9" s="76">
        <v>0</v>
      </c>
      <c r="E9" s="76">
        <v>7</v>
      </c>
      <c r="F9" s="76">
        <v>9</v>
      </c>
      <c r="G9" s="79">
        <v>0.182</v>
      </c>
      <c r="H9" s="77">
        <v>16</v>
      </c>
      <c r="I9" s="74"/>
    </row>
    <row r="10" spans="2:12" x14ac:dyDescent="0.25">
      <c r="B10" s="175"/>
      <c r="C10" s="75" t="s">
        <v>33</v>
      </c>
      <c r="D10" s="76">
        <v>0</v>
      </c>
      <c r="E10" s="76">
        <v>11</v>
      </c>
      <c r="F10" s="76">
        <v>7</v>
      </c>
      <c r="G10" s="79">
        <v>0.20499999999999999</v>
      </c>
      <c r="H10" s="77">
        <v>18</v>
      </c>
      <c r="I10" s="74"/>
    </row>
    <row r="11" spans="2:12" x14ac:dyDescent="0.25">
      <c r="B11" s="175"/>
      <c r="C11" s="75" t="s">
        <v>34</v>
      </c>
      <c r="D11" s="76">
        <v>0</v>
      </c>
      <c r="E11" s="76">
        <v>5</v>
      </c>
      <c r="F11" s="76">
        <v>4</v>
      </c>
      <c r="G11" s="79">
        <v>0.10199999999999999</v>
      </c>
      <c r="H11" s="77">
        <v>9</v>
      </c>
      <c r="I11" s="74"/>
    </row>
    <row r="12" spans="2:12" x14ac:dyDescent="0.25">
      <c r="B12" s="175"/>
      <c r="C12" s="75" t="s">
        <v>35</v>
      </c>
      <c r="D12" s="76">
        <v>0</v>
      </c>
      <c r="E12" s="76">
        <v>8</v>
      </c>
      <c r="F12" s="76">
        <v>4</v>
      </c>
      <c r="G12" s="79">
        <v>0.13600000000000001</v>
      </c>
      <c r="H12" s="77">
        <v>12</v>
      </c>
      <c r="I12" s="74"/>
    </row>
    <row r="13" spans="2:12" x14ac:dyDescent="0.25">
      <c r="B13" s="176" t="s">
        <v>7</v>
      </c>
      <c r="C13" s="176"/>
      <c r="D13" s="78">
        <v>4</v>
      </c>
      <c r="E13" s="78">
        <v>56</v>
      </c>
      <c r="F13" s="78">
        <v>28</v>
      </c>
      <c r="G13" s="80">
        <f>SUM(G7:G12)</f>
        <v>0.99999999999999989</v>
      </c>
      <c r="H13" s="78">
        <v>88</v>
      </c>
      <c r="I13" s="74"/>
    </row>
    <row r="14" spans="2:12" x14ac:dyDescent="0.25">
      <c r="B14" s="74"/>
      <c r="C14" s="74"/>
      <c r="D14" s="74"/>
      <c r="E14" s="74"/>
      <c r="F14" s="74"/>
      <c r="G14" s="74"/>
      <c r="H14" s="74"/>
      <c r="I14" s="74"/>
    </row>
    <row r="15" spans="2:12" ht="30" customHeight="1" x14ac:dyDescent="0.25">
      <c r="B15" s="174" t="s">
        <v>133</v>
      </c>
      <c r="C15" s="174"/>
      <c r="D15" s="174"/>
      <c r="E15" s="174"/>
      <c r="F15" s="174"/>
      <c r="G15" s="174"/>
      <c r="H15" s="174"/>
      <c r="I15" s="74"/>
    </row>
    <row r="16" spans="2:12" x14ac:dyDescent="0.25">
      <c r="B16" s="175" t="s">
        <v>0</v>
      </c>
      <c r="C16" s="175"/>
      <c r="D16" s="175" t="s">
        <v>25</v>
      </c>
      <c r="E16" s="175"/>
      <c r="F16" s="175"/>
      <c r="G16" s="175" t="s">
        <v>59</v>
      </c>
      <c r="H16" s="175" t="s">
        <v>7</v>
      </c>
      <c r="I16" s="74"/>
    </row>
    <row r="17" spans="2:9" x14ac:dyDescent="0.25">
      <c r="B17" s="175"/>
      <c r="C17" s="175"/>
      <c r="D17" s="75" t="s">
        <v>47</v>
      </c>
      <c r="E17" s="75" t="s">
        <v>8</v>
      </c>
      <c r="F17" s="75" t="s">
        <v>9</v>
      </c>
      <c r="G17" s="175"/>
      <c r="H17" s="175"/>
      <c r="I17" s="74"/>
    </row>
    <row r="18" spans="2:9" x14ac:dyDescent="0.25">
      <c r="B18" s="175" t="s">
        <v>144</v>
      </c>
      <c r="C18" s="75" t="s">
        <v>0</v>
      </c>
      <c r="D18" s="76">
        <v>4</v>
      </c>
      <c r="E18" s="76">
        <v>0</v>
      </c>
      <c r="F18" s="76">
        <v>0</v>
      </c>
      <c r="G18" s="79">
        <v>4.4999999999999998E-2</v>
      </c>
      <c r="H18" s="77">
        <v>4</v>
      </c>
      <c r="I18" s="74"/>
    </row>
    <row r="19" spans="2:9" x14ac:dyDescent="0.25">
      <c r="B19" s="175"/>
      <c r="C19" s="75" t="s">
        <v>31</v>
      </c>
      <c r="D19" s="76">
        <v>0</v>
      </c>
      <c r="E19" s="76">
        <v>20</v>
      </c>
      <c r="F19" s="76">
        <v>5</v>
      </c>
      <c r="G19" s="79">
        <v>0.28399999999999997</v>
      </c>
      <c r="H19" s="77">
        <v>25</v>
      </c>
      <c r="I19" s="74"/>
    </row>
    <row r="20" spans="2:9" x14ac:dyDescent="0.25">
      <c r="B20" s="175"/>
      <c r="C20" s="75" t="s">
        <v>32</v>
      </c>
      <c r="D20" s="76">
        <v>0</v>
      </c>
      <c r="E20" s="76">
        <v>8</v>
      </c>
      <c r="F20" s="76">
        <v>14</v>
      </c>
      <c r="G20" s="79">
        <v>0.25</v>
      </c>
      <c r="H20" s="77">
        <v>22</v>
      </c>
      <c r="I20" s="74"/>
    </row>
    <row r="21" spans="2:9" x14ac:dyDescent="0.25">
      <c r="B21" s="175"/>
      <c r="C21" s="75" t="s">
        <v>33</v>
      </c>
      <c r="D21" s="76">
        <v>0</v>
      </c>
      <c r="E21" s="76">
        <v>11</v>
      </c>
      <c r="F21" s="76">
        <v>6</v>
      </c>
      <c r="G21" s="79">
        <v>0.193</v>
      </c>
      <c r="H21" s="77">
        <v>17</v>
      </c>
      <c r="I21" s="74"/>
    </row>
    <row r="22" spans="2:9" x14ac:dyDescent="0.25">
      <c r="B22" s="175"/>
      <c r="C22" s="75" t="s">
        <v>34</v>
      </c>
      <c r="D22" s="76">
        <v>0</v>
      </c>
      <c r="E22" s="76">
        <v>5</v>
      </c>
      <c r="F22" s="76">
        <v>0</v>
      </c>
      <c r="G22" s="79">
        <v>5.7000000000000002E-2</v>
      </c>
      <c r="H22" s="77">
        <v>5</v>
      </c>
      <c r="I22" s="74"/>
    </row>
    <row r="23" spans="2:9" x14ac:dyDescent="0.25">
      <c r="B23" s="175"/>
      <c r="C23" s="75" t="s">
        <v>35</v>
      </c>
      <c r="D23" s="76">
        <v>0</v>
      </c>
      <c r="E23" s="76">
        <v>12</v>
      </c>
      <c r="F23" s="76">
        <v>3</v>
      </c>
      <c r="G23" s="79">
        <v>0.17100000000000001</v>
      </c>
      <c r="H23" s="77">
        <v>15</v>
      </c>
      <c r="I23" s="74"/>
    </row>
    <row r="24" spans="2:9" x14ac:dyDescent="0.25">
      <c r="B24" s="176" t="s">
        <v>7</v>
      </c>
      <c r="C24" s="176"/>
      <c r="D24" s="78">
        <v>4</v>
      </c>
      <c r="E24" s="78">
        <v>56</v>
      </c>
      <c r="F24" s="78">
        <v>28</v>
      </c>
      <c r="G24" s="80">
        <f>SUM(G18:G23)</f>
        <v>1</v>
      </c>
      <c r="H24" s="78">
        <v>88</v>
      </c>
      <c r="I24" s="74"/>
    </row>
    <row r="25" spans="2:9" x14ac:dyDescent="0.25">
      <c r="B25" s="74"/>
      <c r="C25" s="74"/>
      <c r="D25" s="74"/>
      <c r="E25" s="74"/>
      <c r="F25" s="74"/>
      <c r="G25" s="74"/>
      <c r="H25" s="74"/>
      <c r="I25" s="74"/>
    </row>
    <row r="26" spans="2:9" ht="29.25" customHeight="1" x14ac:dyDescent="0.25">
      <c r="B26" s="174" t="s">
        <v>135</v>
      </c>
      <c r="C26" s="174"/>
      <c r="D26" s="174"/>
      <c r="E26" s="174"/>
      <c r="F26" s="174"/>
      <c r="G26" s="174"/>
      <c r="H26" s="174"/>
      <c r="I26" s="74"/>
    </row>
    <row r="27" spans="2:9" x14ac:dyDescent="0.25">
      <c r="B27" s="175" t="s">
        <v>0</v>
      </c>
      <c r="C27" s="175"/>
      <c r="D27" s="175" t="s">
        <v>25</v>
      </c>
      <c r="E27" s="175"/>
      <c r="F27" s="175"/>
      <c r="G27" s="175" t="s">
        <v>59</v>
      </c>
      <c r="H27" s="175" t="s">
        <v>7</v>
      </c>
      <c r="I27" s="74"/>
    </row>
    <row r="28" spans="2:9" x14ac:dyDescent="0.25">
      <c r="B28" s="175"/>
      <c r="C28" s="175"/>
      <c r="D28" s="75" t="s">
        <v>47</v>
      </c>
      <c r="E28" s="75" t="s">
        <v>8</v>
      </c>
      <c r="F28" s="75" t="s">
        <v>9</v>
      </c>
      <c r="G28" s="175"/>
      <c r="H28" s="175"/>
      <c r="I28" s="74"/>
    </row>
    <row r="29" spans="2:9" x14ac:dyDescent="0.25">
      <c r="B29" s="175" t="s">
        <v>145</v>
      </c>
      <c r="C29" s="75" t="s">
        <v>0</v>
      </c>
      <c r="D29" s="76">
        <v>4</v>
      </c>
      <c r="E29" s="76">
        <v>0</v>
      </c>
      <c r="F29" s="76">
        <v>0</v>
      </c>
      <c r="G29" s="79">
        <v>4.4999999999999998E-2</v>
      </c>
      <c r="H29" s="77">
        <v>4</v>
      </c>
      <c r="I29" s="74"/>
    </row>
    <row r="30" spans="2:9" x14ac:dyDescent="0.25">
      <c r="B30" s="175"/>
      <c r="C30" s="75" t="s">
        <v>31</v>
      </c>
      <c r="D30" s="76">
        <v>0</v>
      </c>
      <c r="E30" s="76">
        <v>14</v>
      </c>
      <c r="F30" s="76">
        <v>8</v>
      </c>
      <c r="G30" s="79">
        <v>0.25</v>
      </c>
      <c r="H30" s="77">
        <v>22</v>
      </c>
      <c r="I30" s="74"/>
    </row>
    <row r="31" spans="2:9" x14ac:dyDescent="0.25">
      <c r="B31" s="175"/>
      <c r="C31" s="75" t="s">
        <v>32</v>
      </c>
      <c r="D31" s="76">
        <v>0</v>
      </c>
      <c r="E31" s="76">
        <v>7</v>
      </c>
      <c r="F31" s="76">
        <v>8</v>
      </c>
      <c r="G31" s="79">
        <v>0.17100000000000001</v>
      </c>
      <c r="H31" s="77">
        <v>15</v>
      </c>
      <c r="I31" s="74"/>
    </row>
    <row r="32" spans="2:9" x14ac:dyDescent="0.25">
      <c r="B32" s="175"/>
      <c r="C32" s="75" t="s">
        <v>33</v>
      </c>
      <c r="D32" s="76">
        <v>0</v>
      </c>
      <c r="E32" s="76">
        <v>10</v>
      </c>
      <c r="F32" s="76">
        <v>5</v>
      </c>
      <c r="G32" s="79">
        <v>0.17100000000000001</v>
      </c>
      <c r="H32" s="77">
        <v>15</v>
      </c>
      <c r="I32" s="74"/>
    </row>
    <row r="33" spans="2:9" x14ac:dyDescent="0.25">
      <c r="B33" s="175"/>
      <c r="C33" s="75" t="s">
        <v>34</v>
      </c>
      <c r="D33" s="76">
        <v>0</v>
      </c>
      <c r="E33" s="76">
        <v>11</v>
      </c>
      <c r="F33" s="76">
        <v>1</v>
      </c>
      <c r="G33" s="79">
        <v>0.13600000000000001</v>
      </c>
      <c r="H33" s="77">
        <v>12</v>
      </c>
      <c r="I33" s="74"/>
    </row>
    <row r="34" spans="2:9" x14ac:dyDescent="0.25">
      <c r="B34" s="175"/>
      <c r="C34" s="75" t="s">
        <v>35</v>
      </c>
      <c r="D34" s="76">
        <v>0</v>
      </c>
      <c r="E34" s="76">
        <v>14</v>
      </c>
      <c r="F34" s="76">
        <v>6</v>
      </c>
      <c r="G34" s="79">
        <v>0.22700000000000001</v>
      </c>
      <c r="H34" s="77">
        <v>20</v>
      </c>
      <c r="I34" s="74"/>
    </row>
    <row r="35" spans="2:9" x14ac:dyDescent="0.25">
      <c r="B35" s="176" t="s">
        <v>7</v>
      </c>
      <c r="C35" s="176"/>
      <c r="D35" s="78">
        <v>4</v>
      </c>
      <c r="E35" s="78">
        <v>56</v>
      </c>
      <c r="F35" s="78">
        <v>28</v>
      </c>
      <c r="G35" s="80">
        <f>SUM(G29:G34)</f>
        <v>1</v>
      </c>
      <c r="H35" s="78">
        <v>88</v>
      </c>
      <c r="I35" s="74"/>
    </row>
    <row r="36" spans="2:9" x14ac:dyDescent="0.25">
      <c r="B36" s="74"/>
      <c r="C36" s="74"/>
      <c r="D36" s="74"/>
      <c r="E36" s="74"/>
      <c r="F36" s="74"/>
      <c r="G36" s="74"/>
      <c r="H36" s="74"/>
      <c r="I36" s="74"/>
    </row>
    <row r="37" spans="2:9" x14ac:dyDescent="0.25">
      <c r="B37" s="174" t="s">
        <v>136</v>
      </c>
      <c r="C37" s="174"/>
      <c r="D37" s="174"/>
      <c r="E37" s="174"/>
      <c r="F37" s="174"/>
      <c r="G37" s="174"/>
      <c r="H37" s="174"/>
      <c r="I37" s="74"/>
    </row>
    <row r="38" spans="2:9" x14ac:dyDescent="0.25">
      <c r="B38" s="175" t="s">
        <v>0</v>
      </c>
      <c r="C38" s="175"/>
      <c r="D38" s="175" t="s">
        <v>74</v>
      </c>
      <c r="E38" s="175"/>
      <c r="F38" s="175"/>
      <c r="G38" s="175" t="s">
        <v>59</v>
      </c>
      <c r="H38" s="175" t="s">
        <v>7</v>
      </c>
      <c r="I38" s="74"/>
    </row>
    <row r="39" spans="2:9" x14ac:dyDescent="0.25">
      <c r="B39" s="175"/>
      <c r="C39" s="175"/>
      <c r="D39" s="75" t="s">
        <v>47</v>
      </c>
      <c r="E39" s="75" t="s">
        <v>8</v>
      </c>
      <c r="F39" s="75" t="s">
        <v>9</v>
      </c>
      <c r="G39" s="175"/>
      <c r="H39" s="175"/>
      <c r="I39" s="74"/>
    </row>
    <row r="40" spans="2:9" x14ac:dyDescent="0.25">
      <c r="B40" s="175" t="s">
        <v>146</v>
      </c>
      <c r="C40" s="75" t="s">
        <v>0</v>
      </c>
      <c r="D40" s="76">
        <v>4</v>
      </c>
      <c r="E40" s="76">
        <v>0</v>
      </c>
      <c r="F40" s="76">
        <v>0</v>
      </c>
      <c r="G40" s="79">
        <v>4.4999999999999998E-2</v>
      </c>
      <c r="H40" s="77">
        <v>4</v>
      </c>
      <c r="I40" s="74"/>
    </row>
    <row r="41" spans="2:9" x14ac:dyDescent="0.25">
      <c r="B41" s="175"/>
      <c r="C41" s="75" t="s">
        <v>31</v>
      </c>
      <c r="D41" s="76">
        <v>0</v>
      </c>
      <c r="E41" s="76">
        <v>17</v>
      </c>
      <c r="F41" s="76">
        <v>6</v>
      </c>
      <c r="G41" s="79">
        <v>0.26100000000000001</v>
      </c>
      <c r="H41" s="77">
        <v>23</v>
      </c>
      <c r="I41" s="74"/>
    </row>
    <row r="42" spans="2:9" x14ac:dyDescent="0.25">
      <c r="B42" s="175"/>
      <c r="C42" s="75" t="s">
        <v>32</v>
      </c>
      <c r="D42" s="76">
        <v>0</v>
      </c>
      <c r="E42" s="76">
        <v>4</v>
      </c>
      <c r="F42" s="76">
        <v>11</v>
      </c>
      <c r="G42" s="79">
        <v>0.17100000000000001</v>
      </c>
      <c r="H42" s="77">
        <v>15</v>
      </c>
      <c r="I42" s="74"/>
    </row>
    <row r="43" spans="2:9" x14ac:dyDescent="0.25">
      <c r="B43" s="175"/>
      <c r="C43" s="75" t="s">
        <v>33</v>
      </c>
      <c r="D43" s="76">
        <v>0</v>
      </c>
      <c r="E43" s="76">
        <v>14</v>
      </c>
      <c r="F43" s="76">
        <v>7</v>
      </c>
      <c r="G43" s="79">
        <v>0.23899999999999999</v>
      </c>
      <c r="H43" s="77">
        <v>21</v>
      </c>
      <c r="I43" s="74"/>
    </row>
    <row r="44" spans="2:9" x14ac:dyDescent="0.25">
      <c r="B44" s="175"/>
      <c r="C44" s="75" t="s">
        <v>34</v>
      </c>
      <c r="D44" s="76">
        <v>0</v>
      </c>
      <c r="E44" s="76">
        <v>12</v>
      </c>
      <c r="F44" s="76">
        <v>0</v>
      </c>
      <c r="G44" s="79">
        <v>0.13600000000000001</v>
      </c>
      <c r="H44" s="77">
        <v>12</v>
      </c>
      <c r="I44" s="74"/>
    </row>
    <row r="45" spans="2:9" x14ac:dyDescent="0.25">
      <c r="B45" s="175"/>
      <c r="C45" s="75" t="s">
        <v>35</v>
      </c>
      <c r="D45" s="76">
        <v>0</v>
      </c>
      <c r="E45" s="76">
        <v>9</v>
      </c>
      <c r="F45" s="76">
        <v>4</v>
      </c>
      <c r="G45" s="79">
        <v>0.14799999999999999</v>
      </c>
      <c r="H45" s="77">
        <v>13</v>
      </c>
      <c r="I45" s="74"/>
    </row>
    <row r="46" spans="2:9" x14ac:dyDescent="0.25">
      <c r="B46" s="176" t="s">
        <v>7</v>
      </c>
      <c r="C46" s="176"/>
      <c r="D46" s="78">
        <v>4</v>
      </c>
      <c r="E46" s="78">
        <v>56</v>
      </c>
      <c r="F46" s="78">
        <v>28</v>
      </c>
      <c r="G46" s="80">
        <f>SUM(G40:G45)</f>
        <v>1</v>
      </c>
      <c r="H46" s="78">
        <v>88</v>
      </c>
      <c r="I46" s="74"/>
    </row>
    <row r="47" spans="2:9" x14ac:dyDescent="0.25">
      <c r="B47" s="74"/>
      <c r="C47" s="74"/>
      <c r="D47" s="74"/>
      <c r="E47" s="74"/>
      <c r="F47" s="74"/>
      <c r="G47" s="74"/>
      <c r="H47" s="74"/>
      <c r="I47" s="74"/>
    </row>
    <row r="48" spans="2:9" ht="25.5" customHeight="1" x14ac:dyDescent="0.25">
      <c r="B48" s="174" t="s">
        <v>137</v>
      </c>
      <c r="C48" s="174"/>
      <c r="D48" s="174"/>
      <c r="E48" s="174"/>
      <c r="F48" s="174"/>
      <c r="G48" s="174"/>
      <c r="H48" s="174"/>
      <c r="I48" s="74"/>
    </row>
    <row r="49" spans="2:9" x14ac:dyDescent="0.25">
      <c r="B49" s="175" t="s">
        <v>0</v>
      </c>
      <c r="C49" s="175"/>
      <c r="D49" s="175" t="s">
        <v>25</v>
      </c>
      <c r="E49" s="175"/>
      <c r="F49" s="175"/>
      <c r="G49" s="175" t="s">
        <v>59</v>
      </c>
      <c r="H49" s="175" t="s">
        <v>7</v>
      </c>
      <c r="I49" s="74"/>
    </row>
    <row r="50" spans="2:9" x14ac:dyDescent="0.25">
      <c r="B50" s="175"/>
      <c r="C50" s="175"/>
      <c r="D50" s="75" t="s">
        <v>47</v>
      </c>
      <c r="E50" s="75" t="s">
        <v>8</v>
      </c>
      <c r="F50" s="75" t="s">
        <v>9</v>
      </c>
      <c r="G50" s="175"/>
      <c r="H50" s="175"/>
      <c r="I50" s="74"/>
    </row>
    <row r="51" spans="2:9" x14ac:dyDescent="0.25">
      <c r="B51" s="175" t="s">
        <v>147</v>
      </c>
      <c r="C51" s="75" t="s">
        <v>0</v>
      </c>
      <c r="D51" s="76">
        <v>4</v>
      </c>
      <c r="E51" s="76">
        <v>0</v>
      </c>
      <c r="F51" s="76">
        <v>0</v>
      </c>
      <c r="G51" s="79">
        <v>4.4999999999999998E-2</v>
      </c>
      <c r="H51" s="77">
        <v>4</v>
      </c>
      <c r="I51" s="74"/>
    </row>
    <row r="52" spans="2:9" x14ac:dyDescent="0.25">
      <c r="B52" s="175"/>
      <c r="C52" s="75" t="s">
        <v>31</v>
      </c>
      <c r="D52" s="76">
        <v>0</v>
      </c>
      <c r="E52" s="76">
        <v>22</v>
      </c>
      <c r="F52" s="76">
        <v>6</v>
      </c>
      <c r="G52" s="79">
        <v>0.318</v>
      </c>
      <c r="H52" s="77">
        <v>28</v>
      </c>
      <c r="I52" s="74"/>
    </row>
    <row r="53" spans="2:9" x14ac:dyDescent="0.25">
      <c r="B53" s="175"/>
      <c r="C53" s="75" t="s">
        <v>32</v>
      </c>
      <c r="D53" s="76">
        <v>0</v>
      </c>
      <c r="E53" s="76">
        <v>5</v>
      </c>
      <c r="F53" s="76">
        <v>10</v>
      </c>
      <c r="G53" s="79">
        <v>0.17100000000000001</v>
      </c>
      <c r="H53" s="77">
        <v>15</v>
      </c>
      <c r="I53" s="74"/>
    </row>
    <row r="54" spans="2:9" x14ac:dyDescent="0.25">
      <c r="B54" s="175"/>
      <c r="C54" s="75" t="s">
        <v>33</v>
      </c>
      <c r="D54" s="76">
        <v>0</v>
      </c>
      <c r="E54" s="76">
        <v>13</v>
      </c>
      <c r="F54" s="76">
        <v>6</v>
      </c>
      <c r="G54" s="79">
        <v>0.216</v>
      </c>
      <c r="H54" s="77">
        <v>19</v>
      </c>
      <c r="I54" s="74"/>
    </row>
    <row r="55" spans="2:9" x14ac:dyDescent="0.25">
      <c r="B55" s="175"/>
      <c r="C55" s="75" t="s">
        <v>34</v>
      </c>
      <c r="D55" s="76">
        <v>0</v>
      </c>
      <c r="E55" s="76">
        <v>8</v>
      </c>
      <c r="F55" s="76">
        <v>1</v>
      </c>
      <c r="G55" s="79">
        <v>0.10199999999999999</v>
      </c>
      <c r="H55" s="77">
        <v>9</v>
      </c>
      <c r="I55" s="74"/>
    </row>
    <row r="56" spans="2:9" x14ac:dyDescent="0.25">
      <c r="B56" s="175"/>
      <c r="C56" s="75" t="s">
        <v>35</v>
      </c>
      <c r="D56" s="76">
        <v>0</v>
      </c>
      <c r="E56" s="76">
        <v>8</v>
      </c>
      <c r="F56" s="76">
        <v>5</v>
      </c>
      <c r="G56" s="79">
        <v>0.14799999999999999</v>
      </c>
      <c r="H56" s="77">
        <v>13</v>
      </c>
      <c r="I56" s="74"/>
    </row>
    <row r="57" spans="2:9" x14ac:dyDescent="0.25">
      <c r="B57" s="176" t="s">
        <v>7</v>
      </c>
      <c r="C57" s="176"/>
      <c r="D57" s="78">
        <v>4</v>
      </c>
      <c r="E57" s="78">
        <v>56</v>
      </c>
      <c r="F57" s="78">
        <v>28</v>
      </c>
      <c r="G57" s="80">
        <f>SUM(G51:G56)</f>
        <v>1</v>
      </c>
      <c r="H57" s="78">
        <v>88</v>
      </c>
      <c r="I57" s="74"/>
    </row>
    <row r="58" spans="2:9" x14ac:dyDescent="0.25">
      <c r="B58" s="74"/>
      <c r="C58" s="74"/>
      <c r="D58" s="74"/>
      <c r="E58" s="74"/>
      <c r="F58" s="74"/>
      <c r="G58" s="74"/>
      <c r="H58" s="74"/>
      <c r="I58" s="74"/>
    </row>
    <row r="59" spans="2:9" x14ac:dyDescent="0.25">
      <c r="B59" s="174" t="s">
        <v>138</v>
      </c>
      <c r="C59" s="174"/>
      <c r="D59" s="174"/>
      <c r="E59" s="174"/>
      <c r="F59" s="174"/>
      <c r="G59" s="174"/>
      <c r="H59" s="174"/>
      <c r="I59" s="74"/>
    </row>
    <row r="60" spans="2:9" x14ac:dyDescent="0.25">
      <c r="B60" s="177" t="s">
        <v>0</v>
      </c>
      <c r="C60" s="177"/>
      <c r="D60" s="177" t="s">
        <v>25</v>
      </c>
      <c r="E60" s="177"/>
      <c r="F60" s="177"/>
      <c r="G60" s="175" t="s">
        <v>59</v>
      </c>
      <c r="H60" s="177" t="s">
        <v>7</v>
      </c>
      <c r="I60" s="74"/>
    </row>
    <row r="61" spans="2:9" x14ac:dyDescent="0.25">
      <c r="B61" s="177"/>
      <c r="C61" s="177"/>
      <c r="D61" s="75" t="s">
        <v>47</v>
      </c>
      <c r="E61" s="81" t="s">
        <v>8</v>
      </c>
      <c r="F61" s="81" t="s">
        <v>9</v>
      </c>
      <c r="G61" s="175"/>
      <c r="H61" s="177"/>
      <c r="I61" s="74"/>
    </row>
    <row r="62" spans="2:9" x14ac:dyDescent="0.25">
      <c r="B62" s="177" t="s">
        <v>148</v>
      </c>
      <c r="C62" s="81" t="s">
        <v>0</v>
      </c>
      <c r="D62" s="76">
        <v>4</v>
      </c>
      <c r="E62" s="76">
        <v>0</v>
      </c>
      <c r="F62" s="76">
        <v>0</v>
      </c>
      <c r="G62" s="79">
        <v>4.4999999999999998E-2</v>
      </c>
      <c r="H62" s="77">
        <v>4</v>
      </c>
      <c r="I62" s="74"/>
    </row>
    <row r="63" spans="2:9" x14ac:dyDescent="0.25">
      <c r="B63" s="177"/>
      <c r="C63" s="81" t="s">
        <v>31</v>
      </c>
      <c r="D63" s="76">
        <v>0</v>
      </c>
      <c r="E63" s="76">
        <v>23</v>
      </c>
      <c r="F63" s="76">
        <v>11</v>
      </c>
      <c r="G63" s="79">
        <v>0.38700000000000001</v>
      </c>
      <c r="H63" s="77">
        <v>34</v>
      </c>
      <c r="I63" s="74"/>
    </row>
    <row r="64" spans="2:9" x14ac:dyDescent="0.25">
      <c r="B64" s="177"/>
      <c r="C64" s="81" t="s">
        <v>32</v>
      </c>
      <c r="D64" s="76">
        <v>0</v>
      </c>
      <c r="E64" s="76">
        <v>2</v>
      </c>
      <c r="F64" s="76">
        <v>7</v>
      </c>
      <c r="G64" s="79">
        <v>0.10199999999999999</v>
      </c>
      <c r="H64" s="77">
        <v>9</v>
      </c>
      <c r="I64" s="74"/>
    </row>
    <row r="65" spans="2:9" x14ac:dyDescent="0.25">
      <c r="B65" s="177"/>
      <c r="C65" s="81" t="s">
        <v>33</v>
      </c>
      <c r="D65" s="76">
        <v>0</v>
      </c>
      <c r="E65" s="76">
        <v>13</v>
      </c>
      <c r="F65" s="76">
        <v>3</v>
      </c>
      <c r="G65" s="79">
        <v>0.182</v>
      </c>
      <c r="H65" s="77">
        <v>16</v>
      </c>
      <c r="I65" s="74"/>
    </row>
    <row r="66" spans="2:9" x14ac:dyDescent="0.25">
      <c r="B66" s="177"/>
      <c r="C66" s="81" t="s">
        <v>34</v>
      </c>
      <c r="D66" s="76">
        <v>0</v>
      </c>
      <c r="E66" s="76">
        <v>9</v>
      </c>
      <c r="F66" s="76">
        <v>2</v>
      </c>
      <c r="G66" s="79">
        <v>0.125</v>
      </c>
      <c r="H66" s="77">
        <v>11</v>
      </c>
      <c r="I66" s="74"/>
    </row>
    <row r="67" spans="2:9" x14ac:dyDescent="0.25">
      <c r="B67" s="177"/>
      <c r="C67" s="81" t="s">
        <v>35</v>
      </c>
      <c r="D67" s="76">
        <v>0</v>
      </c>
      <c r="E67" s="76">
        <v>9</v>
      </c>
      <c r="F67" s="76">
        <v>5</v>
      </c>
      <c r="G67" s="79">
        <v>0.159</v>
      </c>
      <c r="H67" s="77">
        <v>14</v>
      </c>
      <c r="I67" s="74"/>
    </row>
    <row r="68" spans="2:9" x14ac:dyDescent="0.25">
      <c r="B68" s="176" t="s">
        <v>7</v>
      </c>
      <c r="C68" s="176"/>
      <c r="D68" s="78">
        <v>4</v>
      </c>
      <c r="E68" s="78">
        <v>56</v>
      </c>
      <c r="F68" s="78">
        <v>28</v>
      </c>
      <c r="G68" s="80">
        <f>SUM(G62:G67)</f>
        <v>1</v>
      </c>
      <c r="H68" s="78">
        <v>88</v>
      </c>
      <c r="I68" s="74"/>
    </row>
    <row r="69" spans="2:9" x14ac:dyDescent="0.25">
      <c r="B69" s="74"/>
      <c r="C69" s="74"/>
      <c r="D69" s="74"/>
      <c r="E69" s="74"/>
      <c r="F69" s="74"/>
      <c r="G69" s="74"/>
      <c r="H69" s="74"/>
      <c r="I69" s="74"/>
    </row>
    <row r="70" spans="2:9" ht="15" hidden="1" customHeight="1" x14ac:dyDescent="0.25">
      <c r="B70" s="187" t="s">
        <v>139</v>
      </c>
      <c r="C70" s="187"/>
      <c r="D70" s="187"/>
      <c r="E70" s="187"/>
      <c r="F70" s="187"/>
      <c r="G70" s="187"/>
      <c r="H70" s="187"/>
      <c r="I70" s="74"/>
    </row>
    <row r="71" spans="2:9" ht="15" hidden="1" customHeight="1" x14ac:dyDescent="0.25">
      <c r="B71" s="183" t="s">
        <v>0</v>
      </c>
      <c r="C71" s="184"/>
      <c r="D71" s="180" t="s">
        <v>25</v>
      </c>
      <c r="E71" s="181"/>
      <c r="F71" s="182"/>
      <c r="G71" s="178" t="s">
        <v>59</v>
      </c>
      <c r="H71" s="178" t="s">
        <v>7</v>
      </c>
      <c r="I71" s="74"/>
    </row>
    <row r="72" spans="2:9" hidden="1" x14ac:dyDescent="0.25">
      <c r="B72" s="185"/>
      <c r="C72" s="186"/>
      <c r="D72" s="75" t="s">
        <v>47</v>
      </c>
      <c r="E72" s="75" t="s">
        <v>8</v>
      </c>
      <c r="F72" s="75" t="s">
        <v>9</v>
      </c>
      <c r="G72" s="179"/>
      <c r="H72" s="179"/>
      <c r="I72" s="74"/>
    </row>
    <row r="73" spans="2:9" ht="15" hidden="1" customHeight="1" x14ac:dyDescent="0.25">
      <c r="B73" s="178" t="s">
        <v>149</v>
      </c>
      <c r="C73" s="75" t="s">
        <v>0</v>
      </c>
      <c r="D73" s="76">
        <v>4</v>
      </c>
      <c r="E73" s="76">
        <v>0</v>
      </c>
      <c r="F73" s="76">
        <v>0</v>
      </c>
      <c r="G73" s="79">
        <v>4.4999999999999998E-2</v>
      </c>
      <c r="H73" s="77">
        <v>4</v>
      </c>
      <c r="I73" s="74"/>
    </row>
    <row r="74" spans="2:9" hidden="1" x14ac:dyDescent="0.25">
      <c r="B74" s="188"/>
      <c r="C74" s="75" t="s">
        <v>31</v>
      </c>
      <c r="D74" s="76">
        <v>0</v>
      </c>
      <c r="E74" s="76">
        <v>13</v>
      </c>
      <c r="F74" s="76">
        <v>6</v>
      </c>
      <c r="G74" s="79">
        <v>0.216</v>
      </c>
      <c r="H74" s="77">
        <v>19</v>
      </c>
      <c r="I74" s="74"/>
    </row>
    <row r="75" spans="2:9" hidden="1" x14ac:dyDescent="0.25">
      <c r="B75" s="188"/>
      <c r="C75" s="75" t="s">
        <v>32</v>
      </c>
      <c r="D75" s="76">
        <v>0</v>
      </c>
      <c r="E75" s="76">
        <v>5</v>
      </c>
      <c r="F75" s="76">
        <v>11</v>
      </c>
      <c r="G75" s="79">
        <v>0.182</v>
      </c>
      <c r="H75" s="77">
        <v>16</v>
      </c>
      <c r="I75" s="74"/>
    </row>
    <row r="76" spans="2:9" hidden="1" x14ac:dyDescent="0.25">
      <c r="B76" s="188"/>
      <c r="C76" s="75" t="s">
        <v>33</v>
      </c>
      <c r="D76" s="76">
        <v>0</v>
      </c>
      <c r="E76" s="76">
        <v>15</v>
      </c>
      <c r="F76" s="76">
        <v>5</v>
      </c>
      <c r="G76" s="79">
        <v>0.22700000000000001</v>
      </c>
      <c r="H76" s="77">
        <v>20</v>
      </c>
      <c r="I76" s="74"/>
    </row>
    <row r="77" spans="2:9" hidden="1" x14ac:dyDescent="0.25">
      <c r="B77" s="188"/>
      <c r="C77" s="75" t="s">
        <v>34</v>
      </c>
      <c r="D77" s="76">
        <v>0</v>
      </c>
      <c r="E77" s="76">
        <v>10</v>
      </c>
      <c r="F77" s="76">
        <v>2</v>
      </c>
      <c r="G77" s="79">
        <v>0.13700000000000001</v>
      </c>
      <c r="H77" s="77">
        <v>12</v>
      </c>
      <c r="I77" s="74"/>
    </row>
    <row r="78" spans="2:9" hidden="1" x14ac:dyDescent="0.25">
      <c r="B78" s="179"/>
      <c r="C78" s="75" t="s">
        <v>35</v>
      </c>
      <c r="D78" s="76">
        <v>0</v>
      </c>
      <c r="E78" s="76">
        <v>13</v>
      </c>
      <c r="F78" s="76">
        <v>4</v>
      </c>
      <c r="G78" s="79">
        <v>0.193</v>
      </c>
      <c r="H78" s="77">
        <v>17</v>
      </c>
      <c r="I78" s="74"/>
    </row>
    <row r="79" spans="2:9" hidden="1" x14ac:dyDescent="0.25">
      <c r="B79" s="189" t="s">
        <v>7</v>
      </c>
      <c r="C79" s="190"/>
      <c r="D79" s="78">
        <v>4</v>
      </c>
      <c r="E79" s="78">
        <v>56</v>
      </c>
      <c r="F79" s="78">
        <v>28</v>
      </c>
      <c r="G79" s="80">
        <f>SUM(G73:G78)</f>
        <v>1</v>
      </c>
      <c r="H79" s="78">
        <v>88</v>
      </c>
      <c r="I79" s="74"/>
    </row>
    <row r="80" spans="2:9" x14ac:dyDescent="0.25">
      <c r="B80" s="74"/>
      <c r="C80" s="74"/>
      <c r="D80" s="74"/>
      <c r="E80" s="74"/>
      <c r="F80" s="74"/>
      <c r="G80" s="74"/>
      <c r="H80" s="74"/>
      <c r="I80" s="74"/>
    </row>
    <row r="81" spans="2:9" x14ac:dyDescent="0.25">
      <c r="B81" s="174" t="s">
        <v>140</v>
      </c>
      <c r="C81" s="174"/>
      <c r="D81" s="174"/>
      <c r="E81" s="174"/>
      <c r="F81" s="174"/>
      <c r="G81" s="174"/>
      <c r="H81" s="174"/>
      <c r="I81" s="74"/>
    </row>
    <row r="82" spans="2:9" x14ac:dyDescent="0.25">
      <c r="B82" s="175" t="s">
        <v>0</v>
      </c>
      <c r="C82" s="175"/>
      <c r="D82" s="175" t="s">
        <v>25</v>
      </c>
      <c r="E82" s="175"/>
      <c r="F82" s="175"/>
      <c r="G82" s="175" t="s">
        <v>59</v>
      </c>
      <c r="H82" s="175" t="s">
        <v>7</v>
      </c>
      <c r="I82" s="74"/>
    </row>
    <row r="83" spans="2:9" x14ac:dyDescent="0.25">
      <c r="B83" s="175"/>
      <c r="C83" s="175"/>
      <c r="D83" s="75" t="s">
        <v>47</v>
      </c>
      <c r="E83" s="75" t="s">
        <v>8</v>
      </c>
      <c r="F83" s="75" t="s">
        <v>9</v>
      </c>
      <c r="G83" s="175"/>
      <c r="H83" s="175"/>
      <c r="I83" s="74"/>
    </row>
    <row r="84" spans="2:9" x14ac:dyDescent="0.25">
      <c r="B84" s="175" t="s">
        <v>150</v>
      </c>
      <c r="C84" s="75" t="s">
        <v>0</v>
      </c>
      <c r="D84" s="76">
        <v>4</v>
      </c>
      <c r="E84" s="76">
        <v>0</v>
      </c>
      <c r="F84" s="76">
        <v>0</v>
      </c>
      <c r="G84" s="79">
        <v>4.4999999999999998E-2</v>
      </c>
      <c r="H84" s="77">
        <v>4</v>
      </c>
      <c r="I84" s="74"/>
    </row>
    <row r="85" spans="2:9" x14ac:dyDescent="0.25">
      <c r="B85" s="175"/>
      <c r="C85" s="75" t="s">
        <v>31</v>
      </c>
      <c r="D85" s="76">
        <v>0</v>
      </c>
      <c r="E85" s="76">
        <v>16</v>
      </c>
      <c r="F85" s="76">
        <v>8</v>
      </c>
      <c r="G85" s="79">
        <v>0.27300000000000002</v>
      </c>
      <c r="H85" s="77">
        <v>24</v>
      </c>
      <c r="I85" s="74"/>
    </row>
    <row r="86" spans="2:9" x14ac:dyDescent="0.25">
      <c r="B86" s="175"/>
      <c r="C86" s="75" t="s">
        <v>32</v>
      </c>
      <c r="D86" s="76">
        <v>0</v>
      </c>
      <c r="E86" s="76">
        <v>6</v>
      </c>
      <c r="F86" s="76">
        <v>7</v>
      </c>
      <c r="G86" s="79">
        <v>0.14799999999999999</v>
      </c>
      <c r="H86" s="77">
        <v>13</v>
      </c>
      <c r="I86" s="74"/>
    </row>
    <row r="87" spans="2:9" x14ac:dyDescent="0.25">
      <c r="B87" s="175"/>
      <c r="C87" s="75" t="s">
        <v>33</v>
      </c>
      <c r="D87" s="76">
        <v>0</v>
      </c>
      <c r="E87" s="76">
        <v>14</v>
      </c>
      <c r="F87" s="76">
        <v>5</v>
      </c>
      <c r="G87" s="79">
        <v>0.216</v>
      </c>
      <c r="H87" s="77">
        <v>19</v>
      </c>
      <c r="I87" s="74"/>
    </row>
    <row r="88" spans="2:9" x14ac:dyDescent="0.25">
      <c r="B88" s="175"/>
      <c r="C88" s="75" t="s">
        <v>34</v>
      </c>
      <c r="D88" s="76">
        <v>0</v>
      </c>
      <c r="E88" s="76">
        <v>8</v>
      </c>
      <c r="F88" s="76">
        <v>4</v>
      </c>
      <c r="G88" s="79">
        <v>0.13600000000000001</v>
      </c>
      <c r="H88" s="77">
        <v>12</v>
      </c>
      <c r="I88" s="74"/>
    </row>
    <row r="89" spans="2:9" x14ac:dyDescent="0.25">
      <c r="B89" s="175"/>
      <c r="C89" s="75" t="s">
        <v>35</v>
      </c>
      <c r="D89" s="76">
        <v>0</v>
      </c>
      <c r="E89" s="76">
        <v>12</v>
      </c>
      <c r="F89" s="76">
        <v>4</v>
      </c>
      <c r="G89" s="79">
        <v>0.182</v>
      </c>
      <c r="H89" s="77">
        <v>16</v>
      </c>
      <c r="I89" s="74"/>
    </row>
    <row r="90" spans="2:9" x14ac:dyDescent="0.25">
      <c r="B90" s="176" t="s">
        <v>7</v>
      </c>
      <c r="C90" s="176"/>
      <c r="D90" s="78">
        <v>4</v>
      </c>
      <c r="E90" s="78">
        <v>56</v>
      </c>
      <c r="F90" s="78">
        <v>28</v>
      </c>
      <c r="G90" s="80">
        <f>SUM(G84:G89)</f>
        <v>1</v>
      </c>
      <c r="H90" s="78">
        <v>88</v>
      </c>
      <c r="I90" s="74"/>
    </row>
    <row r="91" spans="2:9" x14ac:dyDescent="0.25">
      <c r="B91" s="74"/>
      <c r="C91" s="74"/>
      <c r="D91" s="74"/>
      <c r="E91" s="74"/>
      <c r="F91" s="74"/>
      <c r="G91" s="74"/>
      <c r="H91" s="74"/>
      <c r="I91" s="74"/>
    </row>
    <row r="92" spans="2:9" ht="37.5" customHeight="1" x14ac:dyDescent="0.25">
      <c r="B92" s="174" t="s">
        <v>141</v>
      </c>
      <c r="C92" s="174"/>
      <c r="D92" s="174"/>
      <c r="E92" s="174"/>
      <c r="F92" s="174"/>
      <c r="G92" s="174"/>
      <c r="H92" s="174"/>
      <c r="I92" s="74"/>
    </row>
    <row r="93" spans="2:9" x14ac:dyDescent="0.25">
      <c r="B93" s="175" t="s">
        <v>0</v>
      </c>
      <c r="C93" s="175"/>
      <c r="D93" s="175" t="s">
        <v>25</v>
      </c>
      <c r="E93" s="175"/>
      <c r="F93" s="175"/>
      <c r="G93" s="175" t="s">
        <v>59</v>
      </c>
      <c r="H93" s="175" t="s">
        <v>7</v>
      </c>
      <c r="I93" s="74"/>
    </row>
    <row r="94" spans="2:9" x14ac:dyDescent="0.25">
      <c r="B94" s="175"/>
      <c r="C94" s="175"/>
      <c r="D94" s="75" t="s">
        <v>47</v>
      </c>
      <c r="E94" s="75" t="s">
        <v>8</v>
      </c>
      <c r="F94" s="75" t="s">
        <v>9</v>
      </c>
      <c r="G94" s="175"/>
      <c r="H94" s="175"/>
      <c r="I94" s="74"/>
    </row>
    <row r="95" spans="2:9" x14ac:dyDescent="0.25">
      <c r="B95" s="175" t="s">
        <v>151</v>
      </c>
      <c r="C95" s="75" t="s">
        <v>0</v>
      </c>
      <c r="D95" s="76">
        <v>4</v>
      </c>
      <c r="E95" s="76">
        <v>0</v>
      </c>
      <c r="F95" s="76">
        <v>0</v>
      </c>
      <c r="G95" s="79">
        <v>4.4999999999999998E-2</v>
      </c>
      <c r="H95" s="77">
        <v>4</v>
      </c>
      <c r="I95" s="74"/>
    </row>
    <row r="96" spans="2:9" x14ac:dyDescent="0.25">
      <c r="B96" s="175"/>
      <c r="C96" s="75" t="s">
        <v>31</v>
      </c>
      <c r="D96" s="76">
        <v>0</v>
      </c>
      <c r="E96" s="76">
        <v>18</v>
      </c>
      <c r="F96" s="76">
        <v>7</v>
      </c>
      <c r="G96" s="79">
        <v>0.28399999999999997</v>
      </c>
      <c r="H96" s="77">
        <v>25</v>
      </c>
      <c r="I96" s="74"/>
    </row>
    <row r="97" spans="2:9" x14ac:dyDescent="0.25">
      <c r="B97" s="175"/>
      <c r="C97" s="75" t="s">
        <v>32</v>
      </c>
      <c r="D97" s="76">
        <v>0</v>
      </c>
      <c r="E97" s="76">
        <v>7</v>
      </c>
      <c r="F97" s="76">
        <v>7</v>
      </c>
      <c r="G97" s="79">
        <v>0.159</v>
      </c>
      <c r="H97" s="77">
        <v>14</v>
      </c>
      <c r="I97" s="74"/>
    </row>
    <row r="98" spans="2:9" x14ac:dyDescent="0.25">
      <c r="B98" s="175"/>
      <c r="C98" s="75" t="s">
        <v>33</v>
      </c>
      <c r="D98" s="76">
        <v>0</v>
      </c>
      <c r="E98" s="76">
        <v>10</v>
      </c>
      <c r="F98" s="76">
        <v>4</v>
      </c>
      <c r="G98" s="79">
        <v>0.159</v>
      </c>
      <c r="H98" s="77">
        <v>14</v>
      </c>
      <c r="I98" s="74"/>
    </row>
    <row r="99" spans="2:9" x14ac:dyDescent="0.25">
      <c r="B99" s="175"/>
      <c r="C99" s="75" t="s">
        <v>34</v>
      </c>
      <c r="D99" s="76">
        <v>0</v>
      </c>
      <c r="E99" s="76">
        <v>3</v>
      </c>
      <c r="F99" s="76">
        <v>3</v>
      </c>
      <c r="G99" s="79">
        <v>6.8000000000000005E-2</v>
      </c>
      <c r="H99" s="77">
        <v>6</v>
      </c>
      <c r="I99" s="74"/>
    </row>
    <row r="100" spans="2:9" x14ac:dyDescent="0.25">
      <c r="B100" s="175"/>
      <c r="C100" s="75" t="s">
        <v>35</v>
      </c>
      <c r="D100" s="76">
        <v>0</v>
      </c>
      <c r="E100" s="76">
        <v>18</v>
      </c>
      <c r="F100" s="76">
        <v>7</v>
      </c>
      <c r="G100" s="79">
        <v>0.28499999999999998</v>
      </c>
      <c r="H100" s="77">
        <v>25</v>
      </c>
      <c r="I100" s="74"/>
    </row>
    <row r="101" spans="2:9" x14ac:dyDescent="0.25">
      <c r="B101" s="176" t="s">
        <v>7</v>
      </c>
      <c r="C101" s="176"/>
      <c r="D101" s="78">
        <v>4</v>
      </c>
      <c r="E101" s="78">
        <v>56</v>
      </c>
      <c r="F101" s="78">
        <v>28</v>
      </c>
      <c r="G101" s="80">
        <f>SUM(G95:G100)</f>
        <v>1</v>
      </c>
      <c r="H101" s="78">
        <v>88</v>
      </c>
      <c r="I101" s="74"/>
    </row>
    <row r="102" spans="2:9" x14ac:dyDescent="0.25">
      <c r="B102" s="74"/>
      <c r="C102" s="74"/>
      <c r="D102" s="74"/>
      <c r="E102" s="74"/>
      <c r="F102" s="74"/>
      <c r="G102" s="74"/>
      <c r="H102" s="74"/>
      <c r="I102" s="74"/>
    </row>
    <row r="103" spans="2:9" ht="41.25" customHeight="1" x14ac:dyDescent="0.25">
      <c r="B103" s="174" t="s">
        <v>142</v>
      </c>
      <c r="C103" s="174"/>
      <c r="D103" s="174"/>
      <c r="E103" s="174"/>
      <c r="F103" s="174"/>
      <c r="G103" s="174"/>
      <c r="H103" s="174"/>
      <c r="I103" s="74"/>
    </row>
    <row r="104" spans="2:9" x14ac:dyDescent="0.25">
      <c r="B104" s="175" t="s">
        <v>0</v>
      </c>
      <c r="C104" s="175"/>
      <c r="D104" s="175" t="s">
        <v>25</v>
      </c>
      <c r="E104" s="175"/>
      <c r="F104" s="175"/>
      <c r="G104" s="175" t="s">
        <v>59</v>
      </c>
      <c r="H104" s="175" t="s">
        <v>7</v>
      </c>
      <c r="I104" s="74"/>
    </row>
    <row r="105" spans="2:9" x14ac:dyDescent="0.25">
      <c r="B105" s="175"/>
      <c r="C105" s="175"/>
      <c r="D105" s="75" t="s">
        <v>47</v>
      </c>
      <c r="E105" s="75" t="s">
        <v>8</v>
      </c>
      <c r="F105" s="75" t="s">
        <v>9</v>
      </c>
      <c r="G105" s="175"/>
      <c r="H105" s="175"/>
      <c r="I105" s="74"/>
    </row>
    <row r="106" spans="2:9" x14ac:dyDescent="0.25">
      <c r="B106" s="175" t="s">
        <v>152</v>
      </c>
      <c r="C106" s="75" t="s">
        <v>0</v>
      </c>
      <c r="D106" s="76">
        <v>4</v>
      </c>
      <c r="E106" s="76">
        <v>0</v>
      </c>
      <c r="F106" s="76">
        <v>0</v>
      </c>
      <c r="G106" s="79">
        <v>4.4999999999999998E-2</v>
      </c>
      <c r="H106" s="77">
        <v>4</v>
      </c>
      <c r="I106" s="74"/>
    </row>
    <row r="107" spans="2:9" x14ac:dyDescent="0.25">
      <c r="B107" s="175"/>
      <c r="C107" s="75" t="s">
        <v>31</v>
      </c>
      <c r="D107" s="76">
        <v>0</v>
      </c>
      <c r="E107" s="76">
        <v>16</v>
      </c>
      <c r="F107" s="76">
        <v>7</v>
      </c>
      <c r="G107" s="79">
        <v>0.26200000000000001</v>
      </c>
      <c r="H107" s="77">
        <v>23</v>
      </c>
      <c r="I107" s="74"/>
    </row>
    <row r="108" spans="2:9" x14ac:dyDescent="0.25">
      <c r="B108" s="175"/>
      <c r="C108" s="75" t="s">
        <v>32</v>
      </c>
      <c r="D108" s="76">
        <v>0</v>
      </c>
      <c r="E108" s="76">
        <v>6</v>
      </c>
      <c r="F108" s="76">
        <v>7</v>
      </c>
      <c r="G108" s="79">
        <v>0.14799999999999999</v>
      </c>
      <c r="H108" s="77">
        <v>13</v>
      </c>
      <c r="I108" s="74"/>
    </row>
    <row r="109" spans="2:9" x14ac:dyDescent="0.25">
      <c r="B109" s="175"/>
      <c r="C109" s="75" t="s">
        <v>33</v>
      </c>
      <c r="D109" s="76">
        <v>0</v>
      </c>
      <c r="E109" s="76">
        <v>11</v>
      </c>
      <c r="F109" s="76">
        <v>6</v>
      </c>
      <c r="G109" s="79">
        <v>0.193</v>
      </c>
      <c r="H109" s="77">
        <v>17</v>
      </c>
      <c r="I109" s="74"/>
    </row>
    <row r="110" spans="2:9" x14ac:dyDescent="0.25">
      <c r="B110" s="175"/>
      <c r="C110" s="75" t="s">
        <v>34</v>
      </c>
      <c r="D110" s="76">
        <v>0</v>
      </c>
      <c r="E110" s="76">
        <v>7</v>
      </c>
      <c r="F110" s="76">
        <v>2</v>
      </c>
      <c r="G110" s="79">
        <v>0.10199999999999999</v>
      </c>
      <c r="H110" s="77">
        <v>9</v>
      </c>
      <c r="I110" s="74"/>
    </row>
    <row r="111" spans="2:9" x14ac:dyDescent="0.25">
      <c r="B111" s="175"/>
      <c r="C111" s="75" t="s">
        <v>35</v>
      </c>
      <c r="D111" s="76">
        <v>0</v>
      </c>
      <c r="E111" s="76">
        <v>16</v>
      </c>
      <c r="F111" s="76">
        <v>6</v>
      </c>
      <c r="G111" s="79">
        <v>0.25</v>
      </c>
      <c r="H111" s="77">
        <v>22</v>
      </c>
      <c r="I111" s="74"/>
    </row>
    <row r="112" spans="2:9" x14ac:dyDescent="0.25">
      <c r="B112" s="176" t="s">
        <v>7</v>
      </c>
      <c r="C112" s="176"/>
      <c r="D112" s="78">
        <v>4</v>
      </c>
      <c r="E112" s="78">
        <v>56</v>
      </c>
      <c r="F112" s="78">
        <v>28</v>
      </c>
      <c r="G112" s="80">
        <f>SUM(G106:G111)</f>
        <v>0.99999999999999989</v>
      </c>
      <c r="H112" s="78">
        <v>88</v>
      </c>
      <c r="I112" s="74"/>
    </row>
    <row r="113" x14ac:dyDescent="0.25"/>
    <row r="114" x14ac:dyDescent="0.25"/>
  </sheetData>
  <mergeCells count="71">
    <mergeCell ref="B106:B111"/>
    <mergeCell ref="B112:C112"/>
    <mergeCell ref="G5:G6"/>
    <mergeCell ref="G16:G17"/>
    <mergeCell ref="G27:G28"/>
    <mergeCell ref="G38:G39"/>
    <mergeCell ref="G49:G50"/>
    <mergeCell ref="G60:G61"/>
    <mergeCell ref="G71:G72"/>
    <mergeCell ref="G82:G83"/>
    <mergeCell ref="B95:B100"/>
    <mergeCell ref="B101:C101"/>
    <mergeCell ref="B103:H103"/>
    <mergeCell ref="B104:C105"/>
    <mergeCell ref="D104:F104"/>
    <mergeCell ref="H104:H105"/>
    <mergeCell ref="G104:G105"/>
    <mergeCell ref="B84:B89"/>
    <mergeCell ref="B90:C90"/>
    <mergeCell ref="B92:H92"/>
    <mergeCell ref="B93:C94"/>
    <mergeCell ref="D93:F93"/>
    <mergeCell ref="H93:H94"/>
    <mergeCell ref="G93:G94"/>
    <mergeCell ref="B73:B78"/>
    <mergeCell ref="B79:C79"/>
    <mergeCell ref="B81:H81"/>
    <mergeCell ref="B82:C83"/>
    <mergeCell ref="D82:F82"/>
    <mergeCell ref="H82:H83"/>
    <mergeCell ref="H71:H72"/>
    <mergeCell ref="D71:F71"/>
    <mergeCell ref="B71:C72"/>
    <mergeCell ref="B62:B67"/>
    <mergeCell ref="B68:C68"/>
    <mergeCell ref="B70:H70"/>
    <mergeCell ref="B51:B56"/>
    <mergeCell ref="B57:C57"/>
    <mergeCell ref="B59:H59"/>
    <mergeCell ref="B60:C61"/>
    <mergeCell ref="D60:F60"/>
    <mergeCell ref="H60:H61"/>
    <mergeCell ref="B40:B45"/>
    <mergeCell ref="B46:C46"/>
    <mergeCell ref="B48:H48"/>
    <mergeCell ref="B49:C50"/>
    <mergeCell ref="D49:F49"/>
    <mergeCell ref="H49:H50"/>
    <mergeCell ref="B29:B34"/>
    <mergeCell ref="B35:C35"/>
    <mergeCell ref="B37:H37"/>
    <mergeCell ref="B38:C39"/>
    <mergeCell ref="D38:F38"/>
    <mergeCell ref="H38:H39"/>
    <mergeCell ref="B18:B23"/>
    <mergeCell ref="B24:C24"/>
    <mergeCell ref="B26:H26"/>
    <mergeCell ref="B27:C28"/>
    <mergeCell ref="D27:F27"/>
    <mergeCell ref="H27:H28"/>
    <mergeCell ref="B7:B12"/>
    <mergeCell ref="B13:C13"/>
    <mergeCell ref="B15:H15"/>
    <mergeCell ref="B16:C17"/>
    <mergeCell ref="D16:F16"/>
    <mergeCell ref="H16:H17"/>
    <mergeCell ref="B2:L2"/>
    <mergeCell ref="B4:H4"/>
    <mergeCell ref="B5:C6"/>
    <mergeCell ref="D5:F5"/>
    <mergeCell ref="H5:H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111"/>
  <sheetViews>
    <sheetView topLeftCell="B1" workbookViewId="0">
      <selection activeCell="C7" sqref="C7:D8"/>
    </sheetView>
  </sheetViews>
  <sheetFormatPr defaultRowHeight="15" x14ac:dyDescent="0.25"/>
  <cols>
    <col min="3" max="3" width="22.5703125" customWidth="1"/>
    <col min="4" max="4" width="23.28515625" customWidth="1"/>
    <col min="5" max="5" width="10.7109375" customWidth="1"/>
    <col min="7" max="7" width="11.85546875" customWidth="1"/>
    <col min="8" max="8" width="10.5703125" customWidth="1"/>
    <col min="12" max="12" width="9.140625" style="97"/>
  </cols>
  <sheetData>
    <row r="3" spans="3:13" ht="35.25" customHeight="1" x14ac:dyDescent="0.25">
      <c r="C3" s="191" t="s">
        <v>214</v>
      </c>
      <c r="D3" s="191"/>
      <c r="E3" s="191"/>
      <c r="F3" s="191"/>
      <c r="G3" s="191"/>
      <c r="H3" s="191"/>
      <c r="I3" s="191"/>
      <c r="J3" s="191"/>
      <c r="K3" s="191"/>
      <c r="L3" s="191"/>
      <c r="M3" s="191"/>
    </row>
    <row r="6" spans="3:13" ht="15.75" thickBot="1" x14ac:dyDescent="0.3">
      <c r="C6" s="154" t="s">
        <v>215</v>
      </c>
      <c r="D6" s="154"/>
      <c r="E6" s="154"/>
      <c r="F6" s="154"/>
      <c r="G6" s="154"/>
      <c r="H6" s="154"/>
      <c r="I6" s="154"/>
      <c r="J6" s="154"/>
    </row>
    <row r="7" spans="3:13" x14ac:dyDescent="0.25">
      <c r="C7" s="155" t="s">
        <v>0</v>
      </c>
      <c r="D7" s="156"/>
      <c r="E7" s="159" t="s">
        <v>169</v>
      </c>
      <c r="F7" s="160"/>
      <c r="G7" s="160"/>
      <c r="H7" s="161"/>
      <c r="I7" s="146" t="s">
        <v>59</v>
      </c>
      <c r="J7" s="162" t="s">
        <v>7</v>
      </c>
    </row>
    <row r="8" spans="3:13" ht="36.75" thickBot="1" x14ac:dyDescent="0.3">
      <c r="C8" s="157"/>
      <c r="D8" s="158"/>
      <c r="E8" s="95" t="s">
        <v>47</v>
      </c>
      <c r="F8" s="95" t="s">
        <v>4</v>
      </c>
      <c r="G8" s="95" t="s">
        <v>5</v>
      </c>
      <c r="H8" s="95" t="s">
        <v>6</v>
      </c>
      <c r="I8" s="147"/>
      <c r="J8" s="163"/>
    </row>
    <row r="9" spans="3:13" x14ac:dyDescent="0.25">
      <c r="C9" s="152" t="s">
        <v>143</v>
      </c>
      <c r="D9" s="29"/>
      <c r="E9" s="34">
        <v>4</v>
      </c>
      <c r="F9" s="34">
        <v>0</v>
      </c>
      <c r="G9" s="34">
        <v>0</v>
      </c>
      <c r="H9" s="34">
        <v>0</v>
      </c>
      <c r="I9" s="37">
        <v>4.4999999999999998E-2</v>
      </c>
      <c r="J9" s="38">
        <f>SUM(E9:I9)</f>
        <v>4.0449999999999999</v>
      </c>
      <c r="K9" s="94"/>
    </row>
    <row r="10" spans="3:13" x14ac:dyDescent="0.25">
      <c r="C10" s="153"/>
      <c r="D10" s="25" t="s">
        <v>31</v>
      </c>
      <c r="E10" s="26">
        <v>0</v>
      </c>
      <c r="F10" s="26">
        <v>6</v>
      </c>
      <c r="G10" s="26">
        <v>10</v>
      </c>
      <c r="H10" s="26">
        <v>13</v>
      </c>
      <c r="I10" s="37">
        <v>0.33</v>
      </c>
      <c r="J10" s="38">
        <f>SUM(E10:I10)</f>
        <v>29.33</v>
      </c>
      <c r="K10" s="94"/>
    </row>
    <row r="11" spans="3:13" x14ac:dyDescent="0.25">
      <c r="C11" s="153"/>
      <c r="D11" s="25" t="s">
        <v>32</v>
      </c>
      <c r="E11" s="26">
        <v>0</v>
      </c>
      <c r="F11" s="26">
        <v>2</v>
      </c>
      <c r="G11" s="26">
        <v>5</v>
      </c>
      <c r="H11" s="26">
        <v>9</v>
      </c>
      <c r="I11" s="37">
        <v>0.182</v>
      </c>
      <c r="J11" s="38">
        <f>SUM(E11:I11)</f>
        <v>16.181999999999999</v>
      </c>
      <c r="K11" s="94"/>
    </row>
    <row r="12" spans="3:13" x14ac:dyDescent="0.25">
      <c r="C12" s="153"/>
      <c r="D12" s="25" t="s">
        <v>33</v>
      </c>
      <c r="E12" s="26">
        <v>0</v>
      </c>
      <c r="F12" s="26">
        <v>3</v>
      </c>
      <c r="G12" s="26">
        <v>10</v>
      </c>
      <c r="H12" s="26">
        <v>5</v>
      </c>
      <c r="I12" s="37">
        <v>0.20499999999999999</v>
      </c>
      <c r="J12" s="38">
        <f>SUM(E12:I12)</f>
        <v>18.204999999999998</v>
      </c>
      <c r="K12" s="94"/>
    </row>
    <row r="13" spans="3:13" x14ac:dyDescent="0.25">
      <c r="C13" s="153"/>
      <c r="D13" s="25" t="s">
        <v>34</v>
      </c>
      <c r="E13" s="26">
        <v>0</v>
      </c>
      <c r="F13" s="26">
        <v>1</v>
      </c>
      <c r="G13" s="26">
        <v>1</v>
      </c>
      <c r="H13" s="26">
        <v>7</v>
      </c>
      <c r="I13" s="37">
        <v>0.10199999999999999</v>
      </c>
      <c r="J13" s="38">
        <f>SUM(E13:I13)</f>
        <v>9.1020000000000003</v>
      </c>
      <c r="K13" s="94"/>
    </row>
    <row r="14" spans="3:13" x14ac:dyDescent="0.25">
      <c r="C14" s="130"/>
      <c r="D14" s="25" t="s">
        <v>35</v>
      </c>
      <c r="E14" s="26">
        <v>0</v>
      </c>
      <c r="F14" s="26">
        <v>2</v>
      </c>
      <c r="G14" s="26">
        <v>1</v>
      </c>
      <c r="H14" s="26">
        <v>9</v>
      </c>
      <c r="I14" s="37">
        <v>0.13600000000000001</v>
      </c>
      <c r="J14" s="38">
        <f>SUM(E14:I14)</f>
        <v>12.135999999999999</v>
      </c>
      <c r="K14" s="94"/>
    </row>
    <row r="15" spans="3:13" ht="15.75" thickBot="1" x14ac:dyDescent="0.3">
      <c r="C15" s="164" t="s">
        <v>7</v>
      </c>
      <c r="D15" s="165"/>
      <c r="E15" s="30">
        <f>SUM(E9:E14)</f>
        <v>4</v>
      </c>
      <c r="F15" s="30">
        <f>SUM(F9:F14)</f>
        <v>14</v>
      </c>
      <c r="G15" s="30">
        <f t="shared" ref="G15:I15" si="0">SUM(G9:G14)</f>
        <v>27</v>
      </c>
      <c r="H15" s="30">
        <f t="shared" si="0"/>
        <v>43</v>
      </c>
      <c r="I15" s="98">
        <f t="shared" si="0"/>
        <v>0.99999999999999989</v>
      </c>
      <c r="J15" s="30">
        <v>88</v>
      </c>
    </row>
    <row r="18" spans="3:11" ht="15.75" thickBot="1" x14ac:dyDescent="0.3">
      <c r="C18" s="154" t="s">
        <v>216</v>
      </c>
      <c r="D18" s="154"/>
      <c r="E18" s="154"/>
      <c r="F18" s="154"/>
      <c r="G18" s="154"/>
      <c r="H18" s="154"/>
      <c r="I18" s="154"/>
      <c r="J18" s="154"/>
    </row>
    <row r="19" spans="3:11" x14ac:dyDescent="0.25">
      <c r="C19" s="155" t="s">
        <v>0</v>
      </c>
      <c r="D19" s="156"/>
      <c r="E19" s="159" t="s">
        <v>169</v>
      </c>
      <c r="F19" s="160"/>
      <c r="G19" s="160"/>
      <c r="H19" s="161"/>
      <c r="I19" s="146" t="s">
        <v>59</v>
      </c>
      <c r="J19" s="162" t="s">
        <v>7</v>
      </c>
    </row>
    <row r="20" spans="3:11" ht="36.75" thickBot="1" x14ac:dyDescent="0.3">
      <c r="C20" s="157"/>
      <c r="D20" s="158"/>
      <c r="E20" s="95" t="s">
        <v>47</v>
      </c>
      <c r="F20" s="95" t="s">
        <v>4</v>
      </c>
      <c r="G20" s="95" t="s">
        <v>5</v>
      </c>
      <c r="H20" s="95" t="s">
        <v>6</v>
      </c>
      <c r="I20" s="147"/>
      <c r="J20" s="163"/>
    </row>
    <row r="21" spans="3:11" x14ac:dyDescent="0.25">
      <c r="C21" s="152" t="s">
        <v>144</v>
      </c>
      <c r="D21" s="29"/>
      <c r="E21" s="34">
        <v>4</v>
      </c>
      <c r="F21" s="34">
        <v>0</v>
      </c>
      <c r="G21" s="34">
        <v>0</v>
      </c>
      <c r="H21" s="34">
        <v>0</v>
      </c>
      <c r="I21" s="37">
        <v>4.4999999999999998E-2</v>
      </c>
      <c r="J21" s="38">
        <f>SUM(E21:I21)</f>
        <v>4.0449999999999999</v>
      </c>
      <c r="K21" s="94"/>
    </row>
    <row r="22" spans="3:11" x14ac:dyDescent="0.25">
      <c r="C22" s="153"/>
      <c r="D22" s="25" t="s">
        <v>31</v>
      </c>
      <c r="E22" s="26">
        <v>0</v>
      </c>
      <c r="F22" s="26">
        <v>3</v>
      </c>
      <c r="G22" s="26">
        <v>8</v>
      </c>
      <c r="H22" s="26">
        <v>14</v>
      </c>
      <c r="I22" s="37">
        <v>0.28399999999999997</v>
      </c>
      <c r="J22" s="38">
        <f>SUM(E22:I22)</f>
        <v>25.283999999999999</v>
      </c>
      <c r="K22" s="94"/>
    </row>
    <row r="23" spans="3:11" x14ac:dyDescent="0.25">
      <c r="C23" s="153"/>
      <c r="D23" s="25" t="s">
        <v>32</v>
      </c>
      <c r="E23" s="26">
        <v>0</v>
      </c>
      <c r="F23" s="26">
        <v>4</v>
      </c>
      <c r="G23" s="26">
        <v>7</v>
      </c>
      <c r="H23" s="26">
        <v>11</v>
      </c>
      <c r="I23" s="37">
        <v>0.25</v>
      </c>
      <c r="J23" s="38">
        <f>SUM(E23:I23)</f>
        <v>22.25</v>
      </c>
      <c r="K23" s="94"/>
    </row>
    <row r="24" spans="3:11" x14ac:dyDescent="0.25">
      <c r="C24" s="153"/>
      <c r="D24" s="25" t="s">
        <v>33</v>
      </c>
      <c r="E24" s="26">
        <v>0</v>
      </c>
      <c r="F24" s="26">
        <v>4</v>
      </c>
      <c r="G24" s="26">
        <v>9</v>
      </c>
      <c r="H24" s="26">
        <v>4</v>
      </c>
      <c r="I24" s="37">
        <v>0.193</v>
      </c>
      <c r="J24" s="38">
        <f>SUM(E24:I24)</f>
        <v>17.193000000000001</v>
      </c>
      <c r="K24" s="94"/>
    </row>
    <row r="25" spans="3:11" x14ac:dyDescent="0.25">
      <c r="C25" s="153"/>
      <c r="D25" s="25" t="s">
        <v>34</v>
      </c>
      <c r="E25" s="26">
        <v>0</v>
      </c>
      <c r="F25" s="26">
        <v>0</v>
      </c>
      <c r="G25" s="26">
        <v>0</v>
      </c>
      <c r="H25" s="26">
        <v>5</v>
      </c>
      <c r="I25" s="37">
        <v>5.7000000000000002E-2</v>
      </c>
      <c r="J25" s="38">
        <f>SUM(E25:I25)</f>
        <v>5.0570000000000004</v>
      </c>
      <c r="K25" s="94"/>
    </row>
    <row r="26" spans="3:11" x14ac:dyDescent="0.25">
      <c r="C26" s="130"/>
      <c r="D26" s="25" t="s">
        <v>35</v>
      </c>
      <c r="E26" s="26">
        <v>0</v>
      </c>
      <c r="F26" s="26">
        <v>3</v>
      </c>
      <c r="G26" s="26">
        <v>3</v>
      </c>
      <c r="H26" s="26">
        <v>9</v>
      </c>
      <c r="I26" s="37">
        <v>0.17</v>
      </c>
      <c r="J26" s="38">
        <f>SUM(E26:I26)</f>
        <v>15.17</v>
      </c>
      <c r="K26" s="94"/>
    </row>
    <row r="27" spans="3:11" ht="15.75" thickBot="1" x14ac:dyDescent="0.3">
      <c r="C27" s="164" t="s">
        <v>7</v>
      </c>
      <c r="D27" s="165"/>
      <c r="E27" s="30">
        <f>SUM(E21:E26)</f>
        <v>4</v>
      </c>
      <c r="F27" s="30">
        <f>SUM(F21:F26)</f>
        <v>14</v>
      </c>
      <c r="G27" s="30">
        <f t="shared" ref="G27" si="1">SUM(G21:G26)</f>
        <v>27</v>
      </c>
      <c r="H27" s="30">
        <f t="shared" ref="H27" si="2">SUM(H21:H26)</f>
        <v>43</v>
      </c>
      <c r="I27" s="98">
        <f t="shared" ref="I27" si="3">SUM(I21:I26)</f>
        <v>0.99900000000000011</v>
      </c>
      <c r="J27" s="30">
        <v>88</v>
      </c>
    </row>
    <row r="30" spans="3:11" ht="15.75" thickBot="1" x14ac:dyDescent="0.3">
      <c r="C30" s="154" t="s">
        <v>217</v>
      </c>
      <c r="D30" s="154"/>
      <c r="E30" s="154"/>
      <c r="F30" s="154"/>
      <c r="G30" s="154"/>
      <c r="H30" s="154"/>
      <c r="I30" s="154"/>
      <c r="J30" s="154"/>
    </row>
    <row r="31" spans="3:11" x14ac:dyDescent="0.25">
      <c r="C31" s="155" t="s">
        <v>0</v>
      </c>
      <c r="D31" s="156"/>
      <c r="E31" s="159" t="s">
        <v>169</v>
      </c>
      <c r="F31" s="160"/>
      <c r="G31" s="160"/>
      <c r="H31" s="161"/>
      <c r="I31" s="146" t="s">
        <v>59</v>
      </c>
      <c r="J31" s="162" t="s">
        <v>7</v>
      </c>
    </row>
    <row r="32" spans="3:11" ht="36.75" thickBot="1" x14ac:dyDescent="0.3">
      <c r="C32" s="157"/>
      <c r="D32" s="158"/>
      <c r="E32" s="95" t="s">
        <v>47</v>
      </c>
      <c r="F32" s="95" t="s">
        <v>4</v>
      </c>
      <c r="G32" s="95" t="s">
        <v>5</v>
      </c>
      <c r="H32" s="95" t="s">
        <v>6</v>
      </c>
      <c r="I32" s="147"/>
      <c r="J32" s="163"/>
    </row>
    <row r="33" spans="3:11" x14ac:dyDescent="0.25">
      <c r="C33" s="152" t="s">
        <v>145</v>
      </c>
      <c r="D33" s="29"/>
      <c r="E33" s="34">
        <v>4</v>
      </c>
      <c r="F33" s="34">
        <v>0</v>
      </c>
      <c r="G33" s="34">
        <v>0</v>
      </c>
      <c r="H33" s="34">
        <v>0</v>
      </c>
      <c r="I33" s="37">
        <v>4.4999999999999998E-2</v>
      </c>
      <c r="J33" s="38">
        <f t="shared" ref="J33:J38" si="4">SUM(E33:I33)</f>
        <v>4.0449999999999999</v>
      </c>
      <c r="K33" s="94"/>
    </row>
    <row r="34" spans="3:11" x14ac:dyDescent="0.25">
      <c r="C34" s="153"/>
      <c r="D34" s="25" t="s">
        <v>31</v>
      </c>
      <c r="E34" s="26">
        <v>0</v>
      </c>
      <c r="F34" s="26">
        <v>2</v>
      </c>
      <c r="G34" s="26">
        <v>7</v>
      </c>
      <c r="H34" s="26">
        <v>13</v>
      </c>
      <c r="I34" s="37">
        <v>0.25</v>
      </c>
      <c r="J34" s="38">
        <f t="shared" si="4"/>
        <v>22.25</v>
      </c>
      <c r="K34" s="94"/>
    </row>
    <row r="35" spans="3:11" x14ac:dyDescent="0.25">
      <c r="C35" s="153"/>
      <c r="D35" s="25" t="s">
        <v>32</v>
      </c>
      <c r="E35" s="26">
        <v>0</v>
      </c>
      <c r="F35" s="26">
        <v>2</v>
      </c>
      <c r="G35" s="26">
        <v>5</v>
      </c>
      <c r="H35" s="26">
        <v>8</v>
      </c>
      <c r="I35" s="37">
        <v>0.17</v>
      </c>
      <c r="J35" s="38">
        <f t="shared" si="4"/>
        <v>15.17</v>
      </c>
      <c r="K35" s="94"/>
    </row>
    <row r="36" spans="3:11" x14ac:dyDescent="0.25">
      <c r="C36" s="153"/>
      <c r="D36" s="25" t="s">
        <v>33</v>
      </c>
      <c r="E36" s="26">
        <v>0</v>
      </c>
      <c r="F36" s="26">
        <v>4</v>
      </c>
      <c r="G36" s="26">
        <v>8</v>
      </c>
      <c r="H36" s="26">
        <v>3</v>
      </c>
      <c r="I36" s="37">
        <v>0.17</v>
      </c>
      <c r="J36" s="38">
        <f t="shared" si="4"/>
        <v>15.17</v>
      </c>
      <c r="K36" s="94"/>
    </row>
    <row r="37" spans="3:11" x14ac:dyDescent="0.25">
      <c r="C37" s="153"/>
      <c r="D37" s="25" t="s">
        <v>34</v>
      </c>
      <c r="E37" s="26">
        <v>0</v>
      </c>
      <c r="F37" s="26">
        <v>3</v>
      </c>
      <c r="G37" s="26">
        <v>2</v>
      </c>
      <c r="H37" s="26">
        <v>7</v>
      </c>
      <c r="I37" s="37">
        <v>0.13600000000000001</v>
      </c>
      <c r="J37" s="38">
        <f t="shared" si="4"/>
        <v>12.135999999999999</v>
      </c>
      <c r="K37" s="94"/>
    </row>
    <row r="38" spans="3:11" x14ac:dyDescent="0.25">
      <c r="C38" s="130"/>
      <c r="D38" s="25" t="s">
        <v>35</v>
      </c>
      <c r="E38" s="26">
        <v>0</v>
      </c>
      <c r="F38" s="26">
        <v>3</v>
      </c>
      <c r="G38" s="26">
        <v>5</v>
      </c>
      <c r="H38" s="26">
        <v>12</v>
      </c>
      <c r="I38" s="37">
        <v>0.22700000000000001</v>
      </c>
      <c r="J38" s="38">
        <f t="shared" si="4"/>
        <v>20.227</v>
      </c>
      <c r="K38" s="94"/>
    </row>
    <row r="39" spans="3:11" ht="15.75" thickBot="1" x14ac:dyDescent="0.3">
      <c r="C39" s="164" t="s">
        <v>7</v>
      </c>
      <c r="D39" s="165"/>
      <c r="E39" s="30">
        <f>SUM(E33:E38)</f>
        <v>4</v>
      </c>
      <c r="F39" s="30">
        <f>SUM(F33:F38)</f>
        <v>14</v>
      </c>
      <c r="G39" s="30">
        <f t="shared" ref="G39" si="5">SUM(G33:G38)</f>
        <v>27</v>
      </c>
      <c r="H39" s="30">
        <f t="shared" ref="H39" si="6">SUM(H33:H38)</f>
        <v>43</v>
      </c>
      <c r="I39" s="98">
        <f t="shared" ref="I39" si="7">SUM(I33:I38)</f>
        <v>0.998</v>
      </c>
      <c r="J39" s="30">
        <v>88</v>
      </c>
    </row>
    <row r="42" spans="3:11" ht="15.75" thickBot="1" x14ac:dyDescent="0.3">
      <c r="C42" s="154" t="s">
        <v>218</v>
      </c>
      <c r="D42" s="154"/>
      <c r="E42" s="154"/>
      <c r="F42" s="154"/>
      <c r="G42" s="154"/>
      <c r="H42" s="154"/>
      <c r="I42" s="154"/>
      <c r="J42" s="154"/>
    </row>
    <row r="43" spans="3:11" x14ac:dyDescent="0.25">
      <c r="C43" s="155" t="s">
        <v>0</v>
      </c>
      <c r="D43" s="156"/>
      <c r="E43" s="159" t="s">
        <v>169</v>
      </c>
      <c r="F43" s="160"/>
      <c r="G43" s="160"/>
      <c r="H43" s="161"/>
      <c r="I43" s="146" t="s">
        <v>59</v>
      </c>
      <c r="J43" s="162" t="s">
        <v>7</v>
      </c>
    </row>
    <row r="44" spans="3:11" ht="36.75" thickBot="1" x14ac:dyDescent="0.3">
      <c r="C44" s="157"/>
      <c r="D44" s="158"/>
      <c r="E44" s="95" t="s">
        <v>47</v>
      </c>
      <c r="F44" s="95" t="s">
        <v>4</v>
      </c>
      <c r="G44" s="95" t="s">
        <v>5</v>
      </c>
      <c r="H44" s="95" t="s">
        <v>6</v>
      </c>
      <c r="I44" s="147"/>
      <c r="J44" s="163"/>
    </row>
    <row r="45" spans="3:11" x14ac:dyDescent="0.25">
      <c r="C45" s="152" t="s">
        <v>146</v>
      </c>
      <c r="D45" s="29"/>
      <c r="E45" s="34">
        <v>4</v>
      </c>
      <c r="F45" s="34">
        <v>0</v>
      </c>
      <c r="G45" s="34">
        <v>0</v>
      </c>
      <c r="H45" s="34">
        <v>0</v>
      </c>
      <c r="I45" s="37">
        <v>4.4999999999999998E-2</v>
      </c>
      <c r="J45" s="38">
        <f t="shared" ref="J45:J50" si="8">SUM(E45:I45)</f>
        <v>4.0449999999999999</v>
      </c>
      <c r="K45" s="94"/>
    </row>
    <row r="46" spans="3:11" x14ac:dyDescent="0.25">
      <c r="C46" s="153"/>
      <c r="D46" s="25" t="s">
        <v>31</v>
      </c>
      <c r="E46" s="26">
        <v>0</v>
      </c>
      <c r="F46" s="26">
        <v>3</v>
      </c>
      <c r="G46" s="26">
        <v>5</v>
      </c>
      <c r="H46" s="26">
        <v>15</v>
      </c>
      <c r="I46" s="37">
        <v>0.26100000000000001</v>
      </c>
      <c r="J46" s="38">
        <f t="shared" si="8"/>
        <v>23.260999999999999</v>
      </c>
      <c r="K46" s="94"/>
    </row>
    <row r="47" spans="3:11" x14ac:dyDescent="0.25">
      <c r="C47" s="153"/>
      <c r="D47" s="25" t="s">
        <v>32</v>
      </c>
      <c r="E47" s="26">
        <v>0</v>
      </c>
      <c r="F47" s="26">
        <v>2</v>
      </c>
      <c r="G47" s="26">
        <v>6</v>
      </c>
      <c r="H47" s="26">
        <v>7</v>
      </c>
      <c r="I47" s="37">
        <v>0.17</v>
      </c>
      <c r="J47" s="38">
        <f t="shared" si="8"/>
        <v>15.17</v>
      </c>
      <c r="K47" s="94"/>
    </row>
    <row r="48" spans="3:11" x14ac:dyDescent="0.25">
      <c r="C48" s="153"/>
      <c r="D48" s="25" t="s">
        <v>33</v>
      </c>
      <c r="E48" s="26">
        <v>0</v>
      </c>
      <c r="F48" s="26">
        <v>6</v>
      </c>
      <c r="G48" s="26">
        <v>12</v>
      </c>
      <c r="H48" s="26">
        <v>3</v>
      </c>
      <c r="I48" s="37">
        <v>0.23899999999999999</v>
      </c>
      <c r="J48" s="38">
        <f t="shared" si="8"/>
        <v>21.239000000000001</v>
      </c>
      <c r="K48" s="94"/>
    </row>
    <row r="49" spans="3:11" x14ac:dyDescent="0.25">
      <c r="C49" s="153"/>
      <c r="D49" s="25" t="s">
        <v>34</v>
      </c>
      <c r="E49" s="26">
        <v>0</v>
      </c>
      <c r="F49" s="26">
        <v>1</v>
      </c>
      <c r="G49" s="26">
        <v>1</v>
      </c>
      <c r="H49" s="26">
        <v>10</v>
      </c>
      <c r="I49" s="37">
        <v>0.13600000000000001</v>
      </c>
      <c r="J49" s="38">
        <f t="shared" si="8"/>
        <v>12.135999999999999</v>
      </c>
      <c r="K49" s="94"/>
    </row>
    <row r="50" spans="3:11" x14ac:dyDescent="0.25">
      <c r="C50" s="130"/>
      <c r="D50" s="25" t="s">
        <v>35</v>
      </c>
      <c r="E50" s="26">
        <v>0</v>
      </c>
      <c r="F50" s="26">
        <v>2</v>
      </c>
      <c r="G50" s="26">
        <v>3</v>
      </c>
      <c r="H50" s="26">
        <v>8</v>
      </c>
      <c r="I50" s="37">
        <v>0.14799999999999999</v>
      </c>
      <c r="J50" s="38">
        <f t="shared" si="8"/>
        <v>13.148</v>
      </c>
      <c r="K50" s="94"/>
    </row>
    <row r="51" spans="3:11" ht="15.75" thickBot="1" x14ac:dyDescent="0.3">
      <c r="C51" s="164" t="s">
        <v>7</v>
      </c>
      <c r="D51" s="165"/>
      <c r="E51" s="30">
        <f>SUM(E45:E50)</f>
        <v>4</v>
      </c>
      <c r="F51" s="30">
        <f>SUM(F45:F50)</f>
        <v>14</v>
      </c>
      <c r="G51" s="30">
        <f t="shared" ref="G51" si="9">SUM(G45:G50)</f>
        <v>27</v>
      </c>
      <c r="H51" s="30">
        <f t="shared" ref="H51" si="10">SUM(H45:H50)</f>
        <v>43</v>
      </c>
      <c r="I51" s="98">
        <f t="shared" ref="I51" si="11">SUM(I45:I50)</f>
        <v>0.999</v>
      </c>
      <c r="J51" s="30">
        <v>88</v>
      </c>
    </row>
    <row r="54" spans="3:11" ht="15.75" thickBot="1" x14ac:dyDescent="0.3">
      <c r="C54" s="154" t="s">
        <v>219</v>
      </c>
      <c r="D54" s="154"/>
      <c r="E54" s="154"/>
      <c r="F54" s="154"/>
      <c r="G54" s="154"/>
      <c r="H54" s="154"/>
      <c r="I54" s="154"/>
      <c r="J54" s="154"/>
    </row>
    <row r="55" spans="3:11" x14ac:dyDescent="0.25">
      <c r="C55" s="155" t="s">
        <v>0</v>
      </c>
      <c r="D55" s="156"/>
      <c r="E55" s="159" t="s">
        <v>169</v>
      </c>
      <c r="F55" s="160"/>
      <c r="G55" s="160"/>
      <c r="H55" s="161"/>
      <c r="I55" s="146" t="s">
        <v>59</v>
      </c>
      <c r="J55" s="162" t="s">
        <v>7</v>
      </c>
    </row>
    <row r="56" spans="3:11" ht="36.75" thickBot="1" x14ac:dyDescent="0.3">
      <c r="C56" s="157"/>
      <c r="D56" s="158"/>
      <c r="E56" s="95" t="s">
        <v>47</v>
      </c>
      <c r="F56" s="95" t="s">
        <v>4</v>
      </c>
      <c r="G56" s="95" t="s">
        <v>5</v>
      </c>
      <c r="H56" s="95" t="s">
        <v>6</v>
      </c>
      <c r="I56" s="147"/>
      <c r="J56" s="163"/>
    </row>
    <row r="57" spans="3:11" x14ac:dyDescent="0.25">
      <c r="C57" s="152" t="s">
        <v>147</v>
      </c>
      <c r="D57" s="29"/>
      <c r="E57" s="34">
        <v>4</v>
      </c>
      <c r="F57" s="34">
        <v>0</v>
      </c>
      <c r="G57" s="34">
        <v>0</v>
      </c>
      <c r="H57" s="34">
        <v>0</v>
      </c>
      <c r="I57" s="37">
        <v>4.4999999999999998E-2</v>
      </c>
      <c r="J57" s="38">
        <f t="shared" ref="J57:J62" si="12">SUM(E57:I57)</f>
        <v>4.0449999999999999</v>
      </c>
      <c r="K57" s="94"/>
    </row>
    <row r="58" spans="3:11" x14ac:dyDescent="0.25">
      <c r="C58" s="153"/>
      <c r="D58" s="25" t="s">
        <v>31</v>
      </c>
      <c r="E58" s="26">
        <v>0</v>
      </c>
      <c r="F58" s="26">
        <v>5</v>
      </c>
      <c r="G58" s="26">
        <v>7</v>
      </c>
      <c r="H58" s="26">
        <v>16</v>
      </c>
      <c r="I58" s="37">
        <v>0.318</v>
      </c>
      <c r="J58" s="38">
        <f t="shared" si="12"/>
        <v>28.318000000000001</v>
      </c>
      <c r="K58" s="94"/>
    </row>
    <row r="59" spans="3:11" x14ac:dyDescent="0.25">
      <c r="C59" s="153"/>
      <c r="D59" s="25" t="s">
        <v>32</v>
      </c>
      <c r="E59" s="26">
        <v>0</v>
      </c>
      <c r="F59" s="26">
        <v>1</v>
      </c>
      <c r="G59" s="26">
        <v>5</v>
      </c>
      <c r="H59" s="26">
        <v>9</v>
      </c>
      <c r="I59" s="37">
        <v>0.17</v>
      </c>
      <c r="J59" s="38">
        <f t="shared" si="12"/>
        <v>15.17</v>
      </c>
      <c r="K59" s="94"/>
    </row>
    <row r="60" spans="3:11" x14ac:dyDescent="0.25">
      <c r="C60" s="153"/>
      <c r="D60" s="25" t="s">
        <v>33</v>
      </c>
      <c r="E60" s="26">
        <v>0</v>
      </c>
      <c r="F60" s="26">
        <v>5</v>
      </c>
      <c r="G60" s="26">
        <v>12</v>
      </c>
      <c r="H60" s="26">
        <v>2</v>
      </c>
      <c r="I60" s="37">
        <v>0.216</v>
      </c>
      <c r="J60" s="38">
        <f t="shared" si="12"/>
        <v>19.216000000000001</v>
      </c>
      <c r="K60" s="94"/>
    </row>
    <row r="61" spans="3:11" x14ac:dyDescent="0.25">
      <c r="C61" s="153"/>
      <c r="D61" s="25" t="s">
        <v>34</v>
      </c>
      <c r="E61" s="26">
        <v>0</v>
      </c>
      <c r="F61" s="26">
        <v>2</v>
      </c>
      <c r="G61" s="26">
        <v>1</v>
      </c>
      <c r="H61" s="26">
        <v>6</v>
      </c>
      <c r="I61" s="37">
        <v>0.10199999999999999</v>
      </c>
      <c r="J61" s="38">
        <f t="shared" si="12"/>
        <v>9.1020000000000003</v>
      </c>
      <c r="K61" s="94"/>
    </row>
    <row r="62" spans="3:11" x14ac:dyDescent="0.25">
      <c r="C62" s="130"/>
      <c r="D62" s="25" t="s">
        <v>35</v>
      </c>
      <c r="E62" s="26">
        <v>0</v>
      </c>
      <c r="F62" s="26">
        <v>1</v>
      </c>
      <c r="G62" s="26">
        <v>2</v>
      </c>
      <c r="H62" s="26">
        <v>10</v>
      </c>
      <c r="I62" s="37">
        <v>0.14799999999999999</v>
      </c>
      <c r="J62" s="38">
        <f t="shared" si="12"/>
        <v>13.148</v>
      </c>
      <c r="K62" s="94"/>
    </row>
    <row r="63" spans="3:11" ht="15.75" thickBot="1" x14ac:dyDescent="0.3">
      <c r="C63" s="164" t="s">
        <v>7</v>
      </c>
      <c r="D63" s="165"/>
      <c r="E63" s="30">
        <f>SUM(E57:E62)</f>
        <v>4</v>
      </c>
      <c r="F63" s="30">
        <f>SUM(F57:F62)</f>
        <v>14</v>
      </c>
      <c r="G63" s="30">
        <f t="shared" ref="G63" si="13">SUM(G57:G62)</f>
        <v>27</v>
      </c>
      <c r="H63" s="30">
        <f t="shared" ref="H63" si="14">SUM(H57:H62)</f>
        <v>43</v>
      </c>
      <c r="I63" s="98">
        <f t="shared" ref="I63" si="15">SUM(I57:I62)</f>
        <v>0.999</v>
      </c>
      <c r="J63" s="30">
        <v>88</v>
      </c>
    </row>
    <row r="66" spans="3:11" ht="15.75" thickBot="1" x14ac:dyDescent="0.3">
      <c r="C66" s="154" t="s">
        <v>220</v>
      </c>
      <c r="D66" s="154"/>
      <c r="E66" s="154"/>
      <c r="F66" s="154"/>
      <c r="G66" s="154"/>
      <c r="H66" s="154"/>
      <c r="I66" s="154"/>
      <c r="J66" s="154"/>
    </row>
    <row r="67" spans="3:11" x14ac:dyDescent="0.25">
      <c r="C67" s="155" t="s">
        <v>0</v>
      </c>
      <c r="D67" s="156"/>
      <c r="E67" s="159" t="s">
        <v>169</v>
      </c>
      <c r="F67" s="160"/>
      <c r="G67" s="160"/>
      <c r="H67" s="161"/>
      <c r="I67" s="146" t="s">
        <v>59</v>
      </c>
      <c r="J67" s="162" t="s">
        <v>7</v>
      </c>
    </row>
    <row r="68" spans="3:11" ht="36.75" thickBot="1" x14ac:dyDescent="0.3">
      <c r="C68" s="157"/>
      <c r="D68" s="158"/>
      <c r="E68" s="95" t="s">
        <v>47</v>
      </c>
      <c r="F68" s="95" t="s">
        <v>4</v>
      </c>
      <c r="G68" s="95" t="s">
        <v>5</v>
      </c>
      <c r="H68" s="95" t="s">
        <v>6</v>
      </c>
      <c r="I68" s="147"/>
      <c r="J68" s="163"/>
    </row>
    <row r="69" spans="3:11" x14ac:dyDescent="0.25">
      <c r="C69" s="152" t="s">
        <v>148</v>
      </c>
      <c r="D69" s="29"/>
      <c r="E69" s="34">
        <v>4</v>
      </c>
      <c r="F69" s="34">
        <v>0</v>
      </c>
      <c r="G69" s="34">
        <v>0</v>
      </c>
      <c r="H69" s="34">
        <v>0</v>
      </c>
      <c r="I69" s="37">
        <v>4.4999999999999998E-2</v>
      </c>
      <c r="J69" s="38">
        <f t="shared" ref="J69:J74" si="16">SUM(E69:I69)</f>
        <v>4.0449999999999999</v>
      </c>
      <c r="K69" s="94"/>
    </row>
    <row r="70" spans="3:11" x14ac:dyDescent="0.25">
      <c r="C70" s="153"/>
      <c r="D70" s="25" t="s">
        <v>31</v>
      </c>
      <c r="E70" s="26">
        <v>0</v>
      </c>
      <c r="F70" s="26">
        <v>6</v>
      </c>
      <c r="G70" s="26">
        <v>10</v>
      </c>
      <c r="H70" s="26">
        <v>18</v>
      </c>
      <c r="I70" s="37">
        <v>0.38600000000000001</v>
      </c>
      <c r="J70" s="38">
        <f t="shared" si="16"/>
        <v>34.386000000000003</v>
      </c>
      <c r="K70" s="94"/>
    </row>
    <row r="71" spans="3:11" x14ac:dyDescent="0.25">
      <c r="C71" s="153"/>
      <c r="D71" s="25" t="s">
        <v>32</v>
      </c>
      <c r="E71" s="26">
        <v>0</v>
      </c>
      <c r="F71" s="26">
        <v>1</v>
      </c>
      <c r="G71" s="26">
        <v>3</v>
      </c>
      <c r="H71" s="26">
        <v>5</v>
      </c>
      <c r="I71" s="37">
        <v>0.10199999999999999</v>
      </c>
      <c r="J71" s="38">
        <f t="shared" si="16"/>
        <v>9.1020000000000003</v>
      </c>
      <c r="K71" s="94"/>
    </row>
    <row r="72" spans="3:11" x14ac:dyDescent="0.25">
      <c r="C72" s="153"/>
      <c r="D72" s="25" t="s">
        <v>33</v>
      </c>
      <c r="E72" s="26">
        <v>0</v>
      </c>
      <c r="F72" s="26">
        <v>6</v>
      </c>
      <c r="G72" s="26">
        <v>9</v>
      </c>
      <c r="H72" s="26">
        <v>1</v>
      </c>
      <c r="I72" s="37">
        <v>0.182</v>
      </c>
      <c r="J72" s="38">
        <f t="shared" si="16"/>
        <v>16.181999999999999</v>
      </c>
      <c r="K72" s="94"/>
    </row>
    <row r="73" spans="3:11" x14ac:dyDescent="0.25">
      <c r="C73" s="153"/>
      <c r="D73" s="25" t="s">
        <v>34</v>
      </c>
      <c r="E73" s="26">
        <v>0</v>
      </c>
      <c r="F73" s="26">
        <v>0</v>
      </c>
      <c r="G73" s="26">
        <v>2</v>
      </c>
      <c r="H73" s="26">
        <v>9</v>
      </c>
      <c r="I73" s="37">
        <v>0.125</v>
      </c>
      <c r="J73" s="38">
        <f t="shared" si="16"/>
        <v>11.125</v>
      </c>
      <c r="K73" s="94"/>
    </row>
    <row r="74" spans="3:11" x14ac:dyDescent="0.25">
      <c r="C74" s="130"/>
      <c r="D74" s="25" t="s">
        <v>35</v>
      </c>
      <c r="E74" s="26">
        <v>0</v>
      </c>
      <c r="F74" s="26">
        <v>1</v>
      </c>
      <c r="G74" s="26">
        <v>3</v>
      </c>
      <c r="H74" s="26">
        <v>10</v>
      </c>
      <c r="I74" s="37">
        <v>0.159</v>
      </c>
      <c r="J74" s="38">
        <f t="shared" si="16"/>
        <v>14.159000000000001</v>
      </c>
      <c r="K74" s="94"/>
    </row>
    <row r="75" spans="3:11" ht="15.75" thickBot="1" x14ac:dyDescent="0.3">
      <c r="C75" s="164" t="s">
        <v>7</v>
      </c>
      <c r="D75" s="165"/>
      <c r="E75" s="30">
        <f>SUM(E69:E74)</f>
        <v>4</v>
      </c>
      <c r="F75" s="30">
        <f>SUM(F69:F74)</f>
        <v>14</v>
      </c>
      <c r="G75" s="30">
        <f t="shared" ref="G75" si="17">SUM(G69:G74)</f>
        <v>27</v>
      </c>
      <c r="H75" s="30">
        <f t="shared" ref="H75" si="18">SUM(H69:H74)</f>
        <v>43</v>
      </c>
      <c r="I75" s="98">
        <f t="shared" ref="I75" si="19">SUM(I69:I74)</f>
        <v>0.99900000000000011</v>
      </c>
      <c r="J75" s="30">
        <v>88</v>
      </c>
    </row>
    <row r="78" spans="3:11" ht="15.75" thickBot="1" x14ac:dyDescent="0.3">
      <c r="C78" s="154" t="s">
        <v>221</v>
      </c>
      <c r="D78" s="154"/>
      <c r="E78" s="154"/>
      <c r="F78" s="154"/>
      <c r="G78" s="154"/>
      <c r="H78" s="154"/>
      <c r="I78" s="154"/>
      <c r="J78" s="154"/>
    </row>
    <row r="79" spans="3:11" x14ac:dyDescent="0.25">
      <c r="C79" s="155" t="s">
        <v>0</v>
      </c>
      <c r="D79" s="156"/>
      <c r="E79" s="159" t="s">
        <v>169</v>
      </c>
      <c r="F79" s="160"/>
      <c r="G79" s="160"/>
      <c r="H79" s="161"/>
      <c r="I79" s="146" t="s">
        <v>59</v>
      </c>
      <c r="J79" s="162" t="s">
        <v>7</v>
      </c>
    </row>
    <row r="80" spans="3:11" ht="36.75" thickBot="1" x14ac:dyDescent="0.3">
      <c r="C80" s="157"/>
      <c r="D80" s="158"/>
      <c r="E80" s="95" t="s">
        <v>47</v>
      </c>
      <c r="F80" s="95" t="s">
        <v>4</v>
      </c>
      <c r="G80" s="95" t="s">
        <v>5</v>
      </c>
      <c r="H80" s="95" t="s">
        <v>6</v>
      </c>
      <c r="I80" s="147"/>
      <c r="J80" s="163"/>
    </row>
    <row r="81" spans="3:11" x14ac:dyDescent="0.25">
      <c r="C81" s="152" t="s">
        <v>150</v>
      </c>
      <c r="D81" s="29"/>
      <c r="E81" s="34">
        <v>4</v>
      </c>
      <c r="F81" s="34">
        <v>0</v>
      </c>
      <c r="G81" s="34">
        <v>0</v>
      </c>
      <c r="H81" s="34">
        <v>0</v>
      </c>
      <c r="I81" s="37">
        <v>4.4999999999999998E-2</v>
      </c>
      <c r="J81" s="38">
        <f t="shared" ref="J81:J86" si="20">SUM(E81:I81)</f>
        <v>4.0449999999999999</v>
      </c>
      <c r="K81" s="94"/>
    </row>
    <row r="82" spans="3:11" x14ac:dyDescent="0.25">
      <c r="C82" s="153"/>
      <c r="D82" s="25" t="s">
        <v>31</v>
      </c>
      <c r="E82" s="26">
        <v>0</v>
      </c>
      <c r="F82" s="26">
        <v>4</v>
      </c>
      <c r="G82" s="26">
        <v>9</v>
      </c>
      <c r="H82" s="26">
        <v>11</v>
      </c>
      <c r="I82" s="37">
        <v>0.27300000000000002</v>
      </c>
      <c r="J82" s="38">
        <f t="shared" si="20"/>
        <v>24.273</v>
      </c>
      <c r="K82" s="94"/>
    </row>
    <row r="83" spans="3:11" x14ac:dyDescent="0.25">
      <c r="C83" s="153"/>
      <c r="D83" s="25" t="s">
        <v>32</v>
      </c>
      <c r="E83" s="26">
        <v>0</v>
      </c>
      <c r="F83" s="26">
        <v>0</v>
      </c>
      <c r="G83" s="26">
        <v>4</v>
      </c>
      <c r="H83" s="26">
        <v>9</v>
      </c>
      <c r="I83" s="37">
        <v>0.14799999999999999</v>
      </c>
      <c r="J83" s="38">
        <f t="shared" si="20"/>
        <v>13.148</v>
      </c>
      <c r="K83" s="94"/>
    </row>
    <row r="84" spans="3:11" x14ac:dyDescent="0.25">
      <c r="C84" s="153"/>
      <c r="D84" s="25" t="s">
        <v>33</v>
      </c>
      <c r="E84" s="26">
        <v>0</v>
      </c>
      <c r="F84" s="26">
        <v>3</v>
      </c>
      <c r="G84" s="26">
        <v>9</v>
      </c>
      <c r="H84" s="26">
        <v>7</v>
      </c>
      <c r="I84" s="37">
        <v>0.216</v>
      </c>
      <c r="J84" s="38">
        <f t="shared" si="20"/>
        <v>19.216000000000001</v>
      </c>
      <c r="K84" s="94"/>
    </row>
    <row r="85" spans="3:11" x14ac:dyDescent="0.25">
      <c r="C85" s="153"/>
      <c r="D85" s="25" t="s">
        <v>34</v>
      </c>
      <c r="E85" s="26">
        <v>0</v>
      </c>
      <c r="F85" s="26">
        <v>4</v>
      </c>
      <c r="G85" s="26">
        <v>3</v>
      </c>
      <c r="H85" s="26">
        <v>5</v>
      </c>
      <c r="I85" s="37">
        <v>0.13600000000000001</v>
      </c>
      <c r="J85" s="38">
        <f t="shared" si="20"/>
        <v>12.135999999999999</v>
      </c>
      <c r="K85" s="94"/>
    </row>
    <row r="86" spans="3:11" x14ac:dyDescent="0.25">
      <c r="C86" s="130"/>
      <c r="D86" s="25" t="s">
        <v>35</v>
      </c>
      <c r="E86" s="26">
        <v>0</v>
      </c>
      <c r="F86" s="26">
        <v>3</v>
      </c>
      <c r="G86" s="26">
        <v>2</v>
      </c>
      <c r="H86" s="26">
        <v>11</v>
      </c>
      <c r="I86" s="37">
        <v>0.182</v>
      </c>
      <c r="J86" s="38">
        <f t="shared" si="20"/>
        <v>16.181999999999999</v>
      </c>
      <c r="K86" s="94"/>
    </row>
    <row r="87" spans="3:11" ht="15.75" thickBot="1" x14ac:dyDescent="0.3">
      <c r="C87" s="164" t="s">
        <v>7</v>
      </c>
      <c r="D87" s="165"/>
      <c r="E87" s="30">
        <f>SUM(E81:E86)</f>
        <v>4</v>
      </c>
      <c r="F87" s="30">
        <f>SUM(F81:F86)</f>
        <v>14</v>
      </c>
      <c r="G87" s="30">
        <f t="shared" ref="G87" si="21">SUM(G81:G86)</f>
        <v>27</v>
      </c>
      <c r="H87" s="30">
        <f t="shared" ref="H87" si="22">SUM(H81:H86)</f>
        <v>43</v>
      </c>
      <c r="I87" s="98">
        <f t="shared" ref="I87" si="23">SUM(I81:I86)</f>
        <v>1</v>
      </c>
      <c r="J87" s="30">
        <v>88</v>
      </c>
    </row>
    <row r="90" spans="3:11" ht="15.75" thickBot="1" x14ac:dyDescent="0.3">
      <c r="C90" s="154" t="s">
        <v>222</v>
      </c>
      <c r="D90" s="154"/>
      <c r="E90" s="154"/>
      <c r="F90" s="154"/>
      <c r="G90" s="154"/>
      <c r="H90" s="154"/>
      <c r="I90" s="154"/>
      <c r="J90" s="154"/>
    </row>
    <row r="91" spans="3:11" x14ac:dyDescent="0.25">
      <c r="C91" s="155" t="s">
        <v>0</v>
      </c>
      <c r="D91" s="156"/>
      <c r="E91" s="159" t="s">
        <v>169</v>
      </c>
      <c r="F91" s="160"/>
      <c r="G91" s="160"/>
      <c r="H91" s="161"/>
      <c r="I91" s="146" t="s">
        <v>59</v>
      </c>
      <c r="J91" s="162" t="s">
        <v>7</v>
      </c>
    </row>
    <row r="92" spans="3:11" ht="36.75" thickBot="1" x14ac:dyDescent="0.3">
      <c r="C92" s="157"/>
      <c r="D92" s="158"/>
      <c r="E92" s="95" t="s">
        <v>47</v>
      </c>
      <c r="F92" s="95" t="s">
        <v>4</v>
      </c>
      <c r="G92" s="95" t="s">
        <v>5</v>
      </c>
      <c r="H92" s="95" t="s">
        <v>6</v>
      </c>
      <c r="I92" s="147"/>
      <c r="J92" s="163"/>
    </row>
    <row r="93" spans="3:11" x14ac:dyDescent="0.25">
      <c r="C93" s="152" t="s">
        <v>151</v>
      </c>
      <c r="D93" s="29"/>
      <c r="E93" s="34">
        <v>4</v>
      </c>
      <c r="F93" s="34">
        <v>0</v>
      </c>
      <c r="G93" s="34">
        <v>0</v>
      </c>
      <c r="H93" s="34">
        <v>0</v>
      </c>
      <c r="I93" s="37">
        <v>4.4999999999999998E-2</v>
      </c>
      <c r="J93" s="38">
        <f t="shared" ref="J93:J98" si="24">SUM(E93:I93)</f>
        <v>4.0449999999999999</v>
      </c>
      <c r="K93" s="94"/>
    </row>
    <row r="94" spans="3:11" x14ac:dyDescent="0.25">
      <c r="C94" s="153"/>
      <c r="D94" s="25" t="s">
        <v>31</v>
      </c>
      <c r="E94" s="26">
        <v>0</v>
      </c>
      <c r="F94" s="26">
        <v>4</v>
      </c>
      <c r="G94" s="26">
        <v>6</v>
      </c>
      <c r="H94" s="26">
        <v>15</v>
      </c>
      <c r="I94" s="37">
        <v>0.28399999999999997</v>
      </c>
      <c r="J94" s="38">
        <f t="shared" si="24"/>
        <v>25.283999999999999</v>
      </c>
      <c r="K94" s="94"/>
    </row>
    <row r="95" spans="3:11" x14ac:dyDescent="0.25">
      <c r="C95" s="153"/>
      <c r="D95" s="25" t="s">
        <v>32</v>
      </c>
      <c r="E95" s="26">
        <v>0</v>
      </c>
      <c r="F95" s="26">
        <v>0</v>
      </c>
      <c r="G95" s="26">
        <v>3</v>
      </c>
      <c r="H95" s="26">
        <v>11</v>
      </c>
      <c r="I95" s="37">
        <v>0.159</v>
      </c>
      <c r="J95" s="38">
        <f t="shared" si="24"/>
        <v>14.159000000000001</v>
      </c>
      <c r="K95" s="94"/>
    </row>
    <row r="96" spans="3:11" x14ac:dyDescent="0.25">
      <c r="C96" s="153"/>
      <c r="D96" s="25" t="s">
        <v>33</v>
      </c>
      <c r="E96" s="26">
        <v>0</v>
      </c>
      <c r="F96" s="26">
        <v>2</v>
      </c>
      <c r="G96" s="26">
        <v>9</v>
      </c>
      <c r="H96" s="26">
        <v>3</v>
      </c>
      <c r="I96" s="37">
        <v>0.159</v>
      </c>
      <c r="J96" s="38">
        <f t="shared" si="24"/>
        <v>14.159000000000001</v>
      </c>
      <c r="K96" s="94"/>
    </row>
    <row r="97" spans="3:11" x14ac:dyDescent="0.25">
      <c r="C97" s="153"/>
      <c r="D97" s="25" t="s">
        <v>34</v>
      </c>
      <c r="E97" s="26">
        <v>0</v>
      </c>
      <c r="F97" s="26">
        <v>3</v>
      </c>
      <c r="G97" s="26">
        <v>2</v>
      </c>
      <c r="H97" s="26">
        <v>1</v>
      </c>
      <c r="I97" s="37">
        <v>6.8000000000000005E-2</v>
      </c>
      <c r="J97" s="38">
        <f t="shared" si="24"/>
        <v>6.0679999999999996</v>
      </c>
      <c r="K97" s="94"/>
    </row>
    <row r="98" spans="3:11" x14ac:dyDescent="0.25">
      <c r="C98" s="130"/>
      <c r="D98" s="25" t="s">
        <v>35</v>
      </c>
      <c r="E98" s="26">
        <v>0</v>
      </c>
      <c r="F98" s="26">
        <v>5</v>
      </c>
      <c r="G98" s="26">
        <v>7</v>
      </c>
      <c r="H98" s="26">
        <v>13</v>
      </c>
      <c r="I98" s="37">
        <v>0.28399999999999997</v>
      </c>
      <c r="J98" s="38">
        <f t="shared" si="24"/>
        <v>25.283999999999999</v>
      </c>
      <c r="K98" s="94"/>
    </row>
    <row r="99" spans="3:11" ht="15.75" thickBot="1" x14ac:dyDescent="0.3">
      <c r="C99" s="164" t="s">
        <v>7</v>
      </c>
      <c r="D99" s="165"/>
      <c r="E99" s="30">
        <f>SUM(E93:E98)</f>
        <v>4</v>
      </c>
      <c r="F99" s="30">
        <f>SUM(F93:F98)</f>
        <v>14</v>
      </c>
      <c r="G99" s="30">
        <f t="shared" ref="G99" si="25">SUM(G93:G98)</f>
        <v>27</v>
      </c>
      <c r="H99" s="30">
        <f t="shared" ref="H99" si="26">SUM(H93:H98)</f>
        <v>43</v>
      </c>
      <c r="I99" s="98">
        <f t="shared" ref="I99" si="27">SUM(I93:I98)</f>
        <v>0.99900000000000011</v>
      </c>
      <c r="J99" s="30">
        <v>88</v>
      </c>
    </row>
    <row r="102" spans="3:11" ht="15.75" thickBot="1" x14ac:dyDescent="0.3">
      <c r="C102" s="154" t="s">
        <v>223</v>
      </c>
      <c r="D102" s="154"/>
      <c r="E102" s="154"/>
      <c r="F102" s="154"/>
      <c r="G102" s="154"/>
      <c r="H102" s="154"/>
      <c r="I102" s="154"/>
      <c r="J102" s="154"/>
    </row>
    <row r="103" spans="3:11" x14ac:dyDescent="0.25">
      <c r="C103" s="155" t="s">
        <v>0</v>
      </c>
      <c r="D103" s="156"/>
      <c r="E103" s="159" t="s">
        <v>169</v>
      </c>
      <c r="F103" s="160"/>
      <c r="G103" s="160"/>
      <c r="H103" s="161"/>
      <c r="I103" s="146" t="s">
        <v>59</v>
      </c>
      <c r="J103" s="162" t="s">
        <v>7</v>
      </c>
    </row>
    <row r="104" spans="3:11" ht="36.75" thickBot="1" x14ac:dyDescent="0.3">
      <c r="C104" s="157"/>
      <c r="D104" s="158"/>
      <c r="E104" s="95" t="s">
        <v>47</v>
      </c>
      <c r="F104" s="95" t="s">
        <v>4</v>
      </c>
      <c r="G104" s="95" t="s">
        <v>5</v>
      </c>
      <c r="H104" s="95" t="s">
        <v>6</v>
      </c>
      <c r="I104" s="147"/>
      <c r="J104" s="163"/>
    </row>
    <row r="105" spans="3:11" x14ac:dyDescent="0.25">
      <c r="C105" s="152" t="s">
        <v>152</v>
      </c>
      <c r="D105" s="29"/>
      <c r="E105" s="34">
        <v>4</v>
      </c>
      <c r="F105" s="34">
        <v>0</v>
      </c>
      <c r="G105" s="34">
        <v>0</v>
      </c>
      <c r="H105" s="34">
        <v>0</v>
      </c>
      <c r="I105" s="37">
        <v>4.4999999999999998E-2</v>
      </c>
      <c r="J105" s="38">
        <f t="shared" ref="J105:J110" si="28">SUM(E105:I105)</f>
        <v>4.0449999999999999</v>
      </c>
      <c r="K105" s="94"/>
    </row>
    <row r="106" spans="3:11" x14ac:dyDescent="0.25">
      <c r="C106" s="153"/>
      <c r="D106" s="25" t="s">
        <v>31</v>
      </c>
      <c r="E106" s="26">
        <v>0</v>
      </c>
      <c r="F106" s="26">
        <v>5</v>
      </c>
      <c r="G106" s="26">
        <v>4</v>
      </c>
      <c r="H106" s="26">
        <v>14</v>
      </c>
      <c r="I106" s="37">
        <v>0.26100000000000001</v>
      </c>
      <c r="J106" s="38">
        <f t="shared" si="28"/>
        <v>23.260999999999999</v>
      </c>
      <c r="K106" s="94"/>
    </row>
    <row r="107" spans="3:11" x14ac:dyDescent="0.25">
      <c r="C107" s="153"/>
      <c r="D107" s="25" t="s">
        <v>32</v>
      </c>
      <c r="E107" s="26">
        <v>0</v>
      </c>
      <c r="F107" s="26">
        <v>0</v>
      </c>
      <c r="G107" s="26">
        <v>6</v>
      </c>
      <c r="H107" s="26">
        <v>7</v>
      </c>
      <c r="I107" s="37">
        <v>0.14799999999999999</v>
      </c>
      <c r="J107" s="38">
        <f t="shared" si="28"/>
        <v>13.148</v>
      </c>
      <c r="K107" s="94"/>
    </row>
    <row r="108" spans="3:11" x14ac:dyDescent="0.25">
      <c r="C108" s="153"/>
      <c r="D108" s="25" t="s">
        <v>33</v>
      </c>
      <c r="E108" s="26">
        <v>0</v>
      </c>
      <c r="F108" s="26">
        <v>5</v>
      </c>
      <c r="G108" s="26">
        <v>10</v>
      </c>
      <c r="H108" s="26">
        <v>2</v>
      </c>
      <c r="I108" s="37">
        <v>0.193</v>
      </c>
      <c r="J108" s="38">
        <f t="shared" si="28"/>
        <v>17.193000000000001</v>
      </c>
      <c r="K108" s="94"/>
    </row>
    <row r="109" spans="3:11" x14ac:dyDescent="0.25">
      <c r="C109" s="153"/>
      <c r="D109" s="25" t="s">
        <v>34</v>
      </c>
      <c r="E109" s="26">
        <v>0</v>
      </c>
      <c r="F109" s="26">
        <v>1</v>
      </c>
      <c r="G109" s="26">
        <v>0</v>
      </c>
      <c r="H109" s="26">
        <v>8</v>
      </c>
      <c r="I109" s="37">
        <v>0.10199999999999999</v>
      </c>
      <c r="J109" s="38">
        <f t="shared" si="28"/>
        <v>9.1020000000000003</v>
      </c>
      <c r="K109" s="94"/>
    </row>
    <row r="110" spans="3:11" x14ac:dyDescent="0.25">
      <c r="C110" s="130"/>
      <c r="D110" s="25" t="s">
        <v>35</v>
      </c>
      <c r="E110" s="26">
        <v>0</v>
      </c>
      <c r="F110" s="26">
        <v>3</v>
      </c>
      <c r="G110" s="26">
        <v>7</v>
      </c>
      <c r="H110" s="26">
        <v>12</v>
      </c>
      <c r="I110" s="37">
        <v>0.25</v>
      </c>
      <c r="J110" s="38">
        <f t="shared" si="28"/>
        <v>22.25</v>
      </c>
      <c r="K110" s="94"/>
    </row>
    <row r="111" spans="3:11" ht="15.75" thickBot="1" x14ac:dyDescent="0.3">
      <c r="C111" s="164" t="s">
        <v>7</v>
      </c>
      <c r="D111" s="165"/>
      <c r="E111" s="30">
        <f>SUM(E105:E110)</f>
        <v>4</v>
      </c>
      <c r="F111" s="30">
        <f>SUM(F105:F110)</f>
        <v>14</v>
      </c>
      <c r="G111" s="30">
        <f t="shared" ref="G111" si="29">SUM(G105:G110)</f>
        <v>27</v>
      </c>
      <c r="H111" s="30">
        <f t="shared" ref="H111" si="30">SUM(H105:H110)</f>
        <v>43</v>
      </c>
      <c r="I111" s="98">
        <f t="shared" ref="I111" si="31">SUM(I105:I110)</f>
        <v>0.999</v>
      </c>
      <c r="J111" s="30">
        <v>88</v>
      </c>
    </row>
  </sheetData>
  <mergeCells count="64">
    <mergeCell ref="C3:M3"/>
    <mergeCell ref="C6:J6"/>
    <mergeCell ref="C7:D8"/>
    <mergeCell ref="E7:H7"/>
    <mergeCell ref="I7:I8"/>
    <mergeCell ref="J7:J8"/>
    <mergeCell ref="C9:C14"/>
    <mergeCell ref="C15:D15"/>
    <mergeCell ref="C18:J18"/>
    <mergeCell ref="C19:D20"/>
    <mergeCell ref="E19:H19"/>
    <mergeCell ref="I19:I20"/>
    <mergeCell ref="J19:J20"/>
    <mergeCell ref="C21:C26"/>
    <mergeCell ref="C27:D27"/>
    <mergeCell ref="C30:J30"/>
    <mergeCell ref="C31:D32"/>
    <mergeCell ref="E31:H31"/>
    <mergeCell ref="I31:I32"/>
    <mergeCell ref="J31:J32"/>
    <mergeCell ref="C33:C38"/>
    <mergeCell ref="C39:D39"/>
    <mergeCell ref="C42:J42"/>
    <mergeCell ref="C43:D44"/>
    <mergeCell ref="E43:H43"/>
    <mergeCell ref="I43:I44"/>
    <mergeCell ref="J43:J44"/>
    <mergeCell ref="C45:C50"/>
    <mergeCell ref="C51:D51"/>
    <mergeCell ref="C54:J54"/>
    <mergeCell ref="C55:D56"/>
    <mergeCell ref="E55:H55"/>
    <mergeCell ref="I55:I56"/>
    <mergeCell ref="J55:J56"/>
    <mergeCell ref="C57:C62"/>
    <mergeCell ref="C63:D63"/>
    <mergeCell ref="C66:J66"/>
    <mergeCell ref="C67:D68"/>
    <mergeCell ref="E67:H67"/>
    <mergeCell ref="I67:I68"/>
    <mergeCell ref="J67:J68"/>
    <mergeCell ref="C69:C74"/>
    <mergeCell ref="C75:D75"/>
    <mergeCell ref="C78:J78"/>
    <mergeCell ref="C79:D80"/>
    <mergeCell ref="E79:H79"/>
    <mergeCell ref="I79:I80"/>
    <mergeCell ref="J79:J80"/>
    <mergeCell ref="C81:C86"/>
    <mergeCell ref="C87:D87"/>
    <mergeCell ref="C90:J90"/>
    <mergeCell ref="C91:D92"/>
    <mergeCell ref="E91:H91"/>
    <mergeCell ref="I91:I92"/>
    <mergeCell ref="J91:J92"/>
    <mergeCell ref="C105:C110"/>
    <mergeCell ref="C111:D111"/>
    <mergeCell ref="C93:C98"/>
    <mergeCell ref="C99:D99"/>
    <mergeCell ref="C102:J102"/>
    <mergeCell ref="C103:D104"/>
    <mergeCell ref="E103:H103"/>
    <mergeCell ref="I103:I104"/>
    <mergeCell ref="J103:J104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16"/>
  <sheetViews>
    <sheetView tabSelected="1" workbookViewId="0">
      <selection activeCell="E8" sqref="E8"/>
    </sheetView>
  </sheetViews>
  <sheetFormatPr defaultRowHeight="15" x14ac:dyDescent="0.25"/>
  <cols>
    <col min="5" max="5" width="138.5703125" customWidth="1"/>
  </cols>
  <sheetData>
    <row r="2" spans="4:5" ht="18" x14ac:dyDescent="0.25">
      <c r="D2" s="192" t="s">
        <v>155</v>
      </c>
      <c r="E2" s="192"/>
    </row>
    <row r="5" spans="4:5" ht="15.75" thickBot="1" x14ac:dyDescent="0.3"/>
    <row r="6" spans="4:5" ht="15.75" hidden="1" thickBot="1" x14ac:dyDescent="0.3">
      <c r="E6" s="84" t="s">
        <v>154</v>
      </c>
    </row>
    <row r="7" spans="4:5" x14ac:dyDescent="0.25">
      <c r="E7" s="85" t="s">
        <v>156</v>
      </c>
    </row>
    <row r="8" spans="4:5" x14ac:dyDescent="0.25">
      <c r="E8" s="86" t="s">
        <v>157</v>
      </c>
    </row>
    <row r="9" spans="4:5" x14ac:dyDescent="0.25">
      <c r="E9" s="87" t="s">
        <v>158</v>
      </c>
    </row>
    <row r="10" spans="4:5" x14ac:dyDescent="0.25">
      <c r="E10" s="87" t="s">
        <v>159</v>
      </c>
    </row>
    <row r="11" spans="4:5" x14ac:dyDescent="0.25">
      <c r="E11" s="87" t="s">
        <v>160</v>
      </c>
    </row>
    <row r="12" spans="4:5" x14ac:dyDescent="0.25">
      <c r="E12" s="87" t="s">
        <v>161</v>
      </c>
    </row>
    <row r="13" spans="4:5" x14ac:dyDescent="0.25">
      <c r="E13" s="87" t="s">
        <v>162</v>
      </c>
    </row>
    <row r="14" spans="4:5" x14ac:dyDescent="0.25">
      <c r="E14" s="87" t="s">
        <v>163</v>
      </c>
    </row>
    <row r="15" spans="4:5" x14ac:dyDescent="0.25">
      <c r="E15" s="87" t="s">
        <v>164</v>
      </c>
    </row>
    <row r="16" spans="4:5" ht="15.75" thickBot="1" x14ac:dyDescent="0.3">
      <c r="E16" s="88" t="s">
        <v>165</v>
      </c>
    </row>
  </sheetData>
  <mergeCells count="1">
    <mergeCell ref="D2:E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E63"/>
  <sheetViews>
    <sheetView topLeftCell="A46" workbookViewId="0">
      <selection activeCell="K62" sqref="K62"/>
    </sheetView>
  </sheetViews>
  <sheetFormatPr defaultRowHeight="15" x14ac:dyDescent="0.25"/>
  <cols>
    <col min="4" max="4" width="13.85546875" customWidth="1"/>
  </cols>
  <sheetData>
    <row r="4" spans="4:5" x14ac:dyDescent="0.25">
      <c r="D4" s="54" t="s">
        <v>31</v>
      </c>
      <c r="E4" s="57">
        <v>9</v>
      </c>
    </row>
    <row r="5" spans="4:5" x14ac:dyDescent="0.25">
      <c r="D5" s="54" t="s">
        <v>32</v>
      </c>
      <c r="E5" s="57">
        <v>31</v>
      </c>
    </row>
    <row r="6" spans="4:5" x14ac:dyDescent="0.25">
      <c r="D6" s="54" t="s">
        <v>33</v>
      </c>
      <c r="E6" s="57">
        <v>14</v>
      </c>
    </row>
    <row r="7" spans="4:5" ht="24" x14ac:dyDescent="0.25">
      <c r="D7" s="54" t="s">
        <v>34</v>
      </c>
      <c r="E7" s="57">
        <v>23</v>
      </c>
    </row>
    <row r="8" spans="4:5" x14ac:dyDescent="0.25">
      <c r="D8" s="54" t="s">
        <v>35</v>
      </c>
      <c r="E8" s="57">
        <v>7</v>
      </c>
    </row>
    <row r="12" spans="4:5" x14ac:dyDescent="0.25">
      <c r="D12" s="54" t="s">
        <v>31</v>
      </c>
      <c r="E12" s="57">
        <v>21</v>
      </c>
    </row>
    <row r="13" spans="4:5" x14ac:dyDescent="0.25">
      <c r="D13" s="54" t="s">
        <v>32</v>
      </c>
      <c r="E13" s="57">
        <v>47</v>
      </c>
    </row>
    <row r="14" spans="4:5" x14ac:dyDescent="0.25">
      <c r="D14" s="54" t="s">
        <v>33</v>
      </c>
      <c r="E14" s="57">
        <v>3</v>
      </c>
    </row>
    <row r="15" spans="4:5" ht="24" x14ac:dyDescent="0.25">
      <c r="D15" s="54" t="s">
        <v>34</v>
      </c>
      <c r="E15" s="57">
        <v>2</v>
      </c>
    </row>
    <row r="16" spans="4:5" x14ac:dyDescent="0.25">
      <c r="D16" s="54" t="s">
        <v>35</v>
      </c>
      <c r="E16" s="57">
        <v>11</v>
      </c>
    </row>
    <row r="18" spans="4:5" x14ac:dyDescent="0.25">
      <c r="D18" s="54" t="s">
        <v>31</v>
      </c>
      <c r="E18" s="57">
        <v>13</v>
      </c>
    </row>
    <row r="19" spans="4:5" x14ac:dyDescent="0.25">
      <c r="D19" s="54" t="s">
        <v>32</v>
      </c>
      <c r="E19" s="57">
        <v>41</v>
      </c>
    </row>
    <row r="20" spans="4:5" x14ac:dyDescent="0.25">
      <c r="D20" s="54" t="s">
        <v>33</v>
      </c>
      <c r="E20" s="57">
        <v>4</v>
      </c>
    </row>
    <row r="21" spans="4:5" ht="24" x14ac:dyDescent="0.25">
      <c r="D21" s="54" t="s">
        <v>34</v>
      </c>
      <c r="E21" s="57">
        <v>3</v>
      </c>
    </row>
    <row r="22" spans="4:5" x14ac:dyDescent="0.25">
      <c r="D22" s="54" t="s">
        <v>35</v>
      </c>
      <c r="E22" s="57">
        <v>23</v>
      </c>
    </row>
    <row r="29" spans="4:5" x14ac:dyDescent="0.25">
      <c r="D29" s="54" t="s">
        <v>31</v>
      </c>
      <c r="E29" s="57">
        <v>15</v>
      </c>
    </row>
    <row r="30" spans="4:5" x14ac:dyDescent="0.25">
      <c r="D30" s="54" t="s">
        <v>32</v>
      </c>
      <c r="E30" s="57">
        <v>42</v>
      </c>
    </row>
    <row r="31" spans="4:5" x14ac:dyDescent="0.25">
      <c r="D31" s="54" t="s">
        <v>33</v>
      </c>
      <c r="E31" s="57">
        <v>8</v>
      </c>
    </row>
    <row r="32" spans="4:5" ht="24" x14ac:dyDescent="0.25">
      <c r="D32" s="54" t="s">
        <v>34</v>
      </c>
      <c r="E32" s="57">
        <v>6</v>
      </c>
    </row>
    <row r="33" spans="4:5" x14ac:dyDescent="0.25">
      <c r="D33" s="54" t="s">
        <v>35</v>
      </c>
      <c r="E33" s="57">
        <v>13</v>
      </c>
    </row>
    <row r="36" spans="4:5" x14ac:dyDescent="0.25">
      <c r="D36" s="54" t="s">
        <v>31</v>
      </c>
      <c r="E36" s="57">
        <v>18</v>
      </c>
    </row>
    <row r="37" spans="4:5" x14ac:dyDescent="0.25">
      <c r="D37" s="54" t="s">
        <v>32</v>
      </c>
      <c r="E37" s="57">
        <v>16</v>
      </c>
    </row>
    <row r="38" spans="4:5" x14ac:dyDescent="0.25">
      <c r="D38" s="54" t="s">
        <v>33</v>
      </c>
      <c r="E38" s="57">
        <v>5</v>
      </c>
    </row>
    <row r="39" spans="4:5" ht="24" x14ac:dyDescent="0.25">
      <c r="D39" s="54" t="s">
        <v>34</v>
      </c>
      <c r="E39" s="57">
        <v>11</v>
      </c>
    </row>
    <row r="40" spans="4:5" x14ac:dyDescent="0.25">
      <c r="D40" s="54" t="s">
        <v>35</v>
      </c>
      <c r="E40" s="57">
        <v>34</v>
      </c>
    </row>
    <row r="42" spans="4:5" x14ac:dyDescent="0.25">
      <c r="D42" s="54" t="s">
        <v>31</v>
      </c>
      <c r="E42" s="57">
        <v>10</v>
      </c>
    </row>
    <row r="43" spans="4:5" x14ac:dyDescent="0.25">
      <c r="D43" s="54" t="s">
        <v>32</v>
      </c>
      <c r="E43" s="57">
        <v>25</v>
      </c>
    </row>
    <row r="44" spans="4:5" x14ac:dyDescent="0.25">
      <c r="D44" s="54" t="s">
        <v>33</v>
      </c>
      <c r="E44" s="57">
        <v>14</v>
      </c>
    </row>
    <row r="45" spans="4:5" ht="24" x14ac:dyDescent="0.25">
      <c r="D45" s="54" t="s">
        <v>34</v>
      </c>
      <c r="E45" s="57">
        <v>7</v>
      </c>
    </row>
    <row r="46" spans="4:5" x14ac:dyDescent="0.25">
      <c r="D46" s="54" t="s">
        <v>35</v>
      </c>
      <c r="E46" s="57">
        <v>28</v>
      </c>
    </row>
    <row r="49" spans="4:5" x14ac:dyDescent="0.25">
      <c r="D49" s="54" t="s">
        <v>31</v>
      </c>
      <c r="E49" s="57">
        <v>9</v>
      </c>
    </row>
    <row r="50" spans="4:5" x14ac:dyDescent="0.25">
      <c r="D50" s="54" t="s">
        <v>32</v>
      </c>
      <c r="E50" s="57">
        <v>18</v>
      </c>
    </row>
    <row r="51" spans="4:5" x14ac:dyDescent="0.25">
      <c r="D51" s="54" t="s">
        <v>33</v>
      </c>
      <c r="E51" s="57">
        <v>7</v>
      </c>
    </row>
    <row r="52" spans="4:5" ht="24" x14ac:dyDescent="0.25">
      <c r="D52" s="54" t="s">
        <v>34</v>
      </c>
      <c r="E52" s="57">
        <v>28</v>
      </c>
    </row>
    <row r="53" spans="4:5" x14ac:dyDescent="0.25">
      <c r="D53" s="54" t="s">
        <v>35</v>
      </c>
      <c r="E53" s="57">
        <v>22</v>
      </c>
    </row>
    <row r="59" spans="4:5" x14ac:dyDescent="0.25">
      <c r="D59" s="54" t="s">
        <v>31</v>
      </c>
      <c r="E59" s="57">
        <v>12</v>
      </c>
    </row>
    <row r="60" spans="4:5" x14ac:dyDescent="0.25">
      <c r="D60" s="54" t="s">
        <v>32</v>
      </c>
      <c r="E60" s="57">
        <v>54</v>
      </c>
    </row>
    <row r="61" spans="4:5" x14ac:dyDescent="0.25">
      <c r="D61" s="54" t="s">
        <v>33</v>
      </c>
      <c r="E61" s="57">
        <v>4</v>
      </c>
    </row>
    <row r="62" spans="4:5" ht="24" x14ac:dyDescent="0.25">
      <c r="D62" s="54" t="s">
        <v>34</v>
      </c>
      <c r="E62" s="57">
        <v>5</v>
      </c>
    </row>
    <row r="63" spans="4:5" x14ac:dyDescent="0.25">
      <c r="D63" s="54" t="s">
        <v>35</v>
      </c>
      <c r="E63" s="57">
        <v>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74"/>
  <sheetViews>
    <sheetView topLeftCell="A57" workbookViewId="0">
      <selection activeCell="I76" sqref="I76"/>
    </sheetView>
  </sheetViews>
  <sheetFormatPr defaultRowHeight="15" x14ac:dyDescent="0.25"/>
  <cols>
    <col min="3" max="3" width="17.140625" customWidth="1"/>
  </cols>
  <sheetData>
    <row r="3" spans="3:4" x14ac:dyDescent="0.25">
      <c r="C3" s="44" t="s">
        <v>31</v>
      </c>
      <c r="D3" s="46">
        <v>18</v>
      </c>
    </row>
    <row r="4" spans="3:4" x14ac:dyDescent="0.25">
      <c r="C4" s="44" t="s">
        <v>32</v>
      </c>
      <c r="D4" s="46">
        <v>31</v>
      </c>
    </row>
    <row r="5" spans="3:4" x14ac:dyDescent="0.25">
      <c r="C5" s="44" t="s">
        <v>33</v>
      </c>
      <c r="D5" s="46">
        <v>11</v>
      </c>
    </row>
    <row r="6" spans="3:4" x14ac:dyDescent="0.25">
      <c r="C6" s="44" t="s">
        <v>34</v>
      </c>
      <c r="D6" s="46">
        <v>15</v>
      </c>
    </row>
    <row r="7" spans="3:4" x14ac:dyDescent="0.25">
      <c r="C7" s="44" t="s">
        <v>35</v>
      </c>
      <c r="D7" s="46">
        <v>9</v>
      </c>
    </row>
    <row r="10" spans="3:4" x14ac:dyDescent="0.25">
      <c r="C10" s="44" t="s">
        <v>31</v>
      </c>
      <c r="D10" s="46">
        <v>24</v>
      </c>
    </row>
    <row r="11" spans="3:4" x14ac:dyDescent="0.25">
      <c r="C11" s="44" t="s">
        <v>32</v>
      </c>
      <c r="D11" s="46">
        <v>38</v>
      </c>
    </row>
    <row r="12" spans="3:4" x14ac:dyDescent="0.25">
      <c r="C12" s="44" t="s">
        <v>33</v>
      </c>
      <c r="D12" s="46">
        <v>6</v>
      </c>
    </row>
    <row r="13" spans="3:4" x14ac:dyDescent="0.25">
      <c r="C13" s="44" t="s">
        <v>34</v>
      </c>
      <c r="D13" s="46">
        <v>7</v>
      </c>
    </row>
    <row r="14" spans="3:4" x14ac:dyDescent="0.25">
      <c r="C14" s="44" t="s">
        <v>35</v>
      </c>
      <c r="D14" s="46">
        <v>9</v>
      </c>
    </row>
    <row r="16" spans="3:4" x14ac:dyDescent="0.25">
      <c r="C16" s="44" t="s">
        <v>31</v>
      </c>
      <c r="D16" s="46">
        <v>18</v>
      </c>
    </row>
    <row r="17" spans="3:4" x14ac:dyDescent="0.25">
      <c r="C17" s="44" t="s">
        <v>32</v>
      </c>
      <c r="D17" s="46">
        <v>51</v>
      </c>
    </row>
    <row r="18" spans="3:4" x14ac:dyDescent="0.25">
      <c r="C18" s="44" t="s">
        <v>33</v>
      </c>
      <c r="D18" s="46">
        <v>7</v>
      </c>
    </row>
    <row r="19" spans="3:4" x14ac:dyDescent="0.25">
      <c r="C19" s="44" t="s">
        <v>34</v>
      </c>
      <c r="D19" s="46">
        <v>6</v>
      </c>
    </row>
    <row r="20" spans="3:4" x14ac:dyDescent="0.25">
      <c r="C20" s="44" t="s">
        <v>35</v>
      </c>
      <c r="D20" s="46">
        <v>2</v>
      </c>
    </row>
    <row r="24" spans="3:4" x14ac:dyDescent="0.25">
      <c r="C24" s="44" t="s">
        <v>31</v>
      </c>
      <c r="D24" s="46">
        <v>22</v>
      </c>
    </row>
    <row r="25" spans="3:4" x14ac:dyDescent="0.25">
      <c r="C25" s="44" t="s">
        <v>32</v>
      </c>
      <c r="D25" s="46">
        <v>38</v>
      </c>
    </row>
    <row r="26" spans="3:4" x14ac:dyDescent="0.25">
      <c r="C26" s="44" t="s">
        <v>33</v>
      </c>
      <c r="D26" s="46">
        <v>9</v>
      </c>
    </row>
    <row r="27" spans="3:4" x14ac:dyDescent="0.25">
      <c r="C27" s="44" t="s">
        <v>34</v>
      </c>
      <c r="D27" s="46">
        <v>7</v>
      </c>
    </row>
    <row r="28" spans="3:4" x14ac:dyDescent="0.25">
      <c r="C28" s="44" t="s">
        <v>35</v>
      </c>
      <c r="D28" s="46">
        <v>8</v>
      </c>
    </row>
    <row r="31" spans="3:4" x14ac:dyDescent="0.25">
      <c r="C31" s="44" t="s">
        <v>31</v>
      </c>
      <c r="D31" s="46">
        <v>23</v>
      </c>
    </row>
    <row r="32" spans="3:4" x14ac:dyDescent="0.25">
      <c r="C32" s="44" t="s">
        <v>32</v>
      </c>
      <c r="D32" s="46">
        <v>32</v>
      </c>
    </row>
    <row r="33" spans="3:4" x14ac:dyDescent="0.25">
      <c r="C33" s="44" t="s">
        <v>33</v>
      </c>
      <c r="D33" s="46">
        <v>7</v>
      </c>
    </row>
    <row r="34" spans="3:4" x14ac:dyDescent="0.25">
      <c r="C34" s="44" t="s">
        <v>34</v>
      </c>
      <c r="D34" s="46">
        <v>11</v>
      </c>
    </row>
    <row r="35" spans="3:4" x14ac:dyDescent="0.25">
      <c r="C35" s="44" t="s">
        <v>35</v>
      </c>
      <c r="D35" s="46">
        <v>11</v>
      </c>
    </row>
    <row r="39" spans="3:4" x14ac:dyDescent="0.25">
      <c r="C39" s="44" t="s">
        <v>31</v>
      </c>
      <c r="D39" s="46">
        <v>15</v>
      </c>
    </row>
    <row r="40" spans="3:4" x14ac:dyDescent="0.25">
      <c r="C40" s="44" t="s">
        <v>32</v>
      </c>
      <c r="D40" s="46">
        <v>11</v>
      </c>
    </row>
    <row r="41" spans="3:4" x14ac:dyDescent="0.25">
      <c r="C41" s="44" t="s">
        <v>33</v>
      </c>
      <c r="D41" s="46">
        <v>19</v>
      </c>
    </row>
    <row r="42" spans="3:4" x14ac:dyDescent="0.25">
      <c r="C42" s="44" t="s">
        <v>34</v>
      </c>
      <c r="D42" s="46">
        <v>34</v>
      </c>
    </row>
    <row r="43" spans="3:4" x14ac:dyDescent="0.25">
      <c r="C43" s="44" t="s">
        <v>35</v>
      </c>
      <c r="D43" s="46">
        <v>5</v>
      </c>
    </row>
    <row r="46" spans="3:4" x14ac:dyDescent="0.25">
      <c r="C46" s="44" t="s">
        <v>31</v>
      </c>
      <c r="D46" s="46">
        <v>8</v>
      </c>
    </row>
    <row r="47" spans="3:4" x14ac:dyDescent="0.25">
      <c r="C47" s="44" t="s">
        <v>32</v>
      </c>
      <c r="D47" s="46">
        <v>11</v>
      </c>
    </row>
    <row r="48" spans="3:4" x14ac:dyDescent="0.25">
      <c r="C48" s="44" t="s">
        <v>33</v>
      </c>
      <c r="D48" s="46">
        <v>14</v>
      </c>
    </row>
    <row r="49" spans="3:4" x14ac:dyDescent="0.25">
      <c r="C49" s="44" t="s">
        <v>34</v>
      </c>
      <c r="D49" s="46">
        <v>45</v>
      </c>
    </row>
    <row r="50" spans="3:4" x14ac:dyDescent="0.25">
      <c r="C50" s="44" t="s">
        <v>35</v>
      </c>
      <c r="D50" s="46">
        <v>6</v>
      </c>
    </row>
    <row r="53" spans="3:4" x14ac:dyDescent="0.25">
      <c r="C53" s="44" t="s">
        <v>31</v>
      </c>
      <c r="D53" s="46">
        <v>8</v>
      </c>
    </row>
    <row r="54" spans="3:4" x14ac:dyDescent="0.25">
      <c r="C54" s="44" t="s">
        <v>32</v>
      </c>
      <c r="D54" s="46">
        <v>14</v>
      </c>
    </row>
    <row r="55" spans="3:4" x14ac:dyDescent="0.25">
      <c r="C55" s="44" t="s">
        <v>33</v>
      </c>
      <c r="D55" s="46">
        <v>17</v>
      </c>
    </row>
    <row r="56" spans="3:4" x14ac:dyDescent="0.25">
      <c r="C56" s="44" t="s">
        <v>34</v>
      </c>
      <c r="D56" s="46">
        <v>38</v>
      </c>
    </row>
    <row r="57" spans="3:4" x14ac:dyDescent="0.25">
      <c r="C57" s="44" t="s">
        <v>35</v>
      </c>
      <c r="D57" s="46">
        <v>7</v>
      </c>
    </row>
    <row r="60" spans="3:4" x14ac:dyDescent="0.25">
      <c r="C60" s="44" t="s">
        <v>31</v>
      </c>
      <c r="D60" s="46">
        <v>33</v>
      </c>
    </row>
    <row r="61" spans="3:4" x14ac:dyDescent="0.25">
      <c r="C61" s="44" t="s">
        <v>32</v>
      </c>
      <c r="D61" s="46">
        <v>31</v>
      </c>
    </row>
    <row r="62" spans="3:4" x14ac:dyDescent="0.25">
      <c r="C62" s="44" t="s">
        <v>33</v>
      </c>
      <c r="D62" s="46">
        <v>6</v>
      </c>
    </row>
    <row r="63" spans="3:4" x14ac:dyDescent="0.25">
      <c r="C63" s="44" t="s">
        <v>34</v>
      </c>
      <c r="D63" s="46">
        <v>9</v>
      </c>
    </row>
    <row r="64" spans="3:4" x14ac:dyDescent="0.25">
      <c r="C64" s="44" t="s">
        <v>35</v>
      </c>
      <c r="D64" s="46">
        <v>5</v>
      </c>
    </row>
    <row r="70" spans="3:4" x14ac:dyDescent="0.25">
      <c r="C70" s="44" t="s">
        <v>31</v>
      </c>
      <c r="D70" s="46">
        <v>29</v>
      </c>
    </row>
    <row r="71" spans="3:4" x14ac:dyDescent="0.25">
      <c r="C71" s="44" t="s">
        <v>32</v>
      </c>
      <c r="D71" s="46">
        <v>33</v>
      </c>
    </row>
    <row r="72" spans="3:4" x14ac:dyDescent="0.25">
      <c r="C72" s="44" t="s">
        <v>33</v>
      </c>
      <c r="D72" s="46">
        <v>7</v>
      </c>
    </row>
    <row r="73" spans="3:4" x14ac:dyDescent="0.25">
      <c r="C73" s="44" t="s">
        <v>34</v>
      </c>
      <c r="D73" s="46">
        <v>7</v>
      </c>
    </row>
    <row r="74" spans="3:4" x14ac:dyDescent="0.25">
      <c r="C74" s="44" t="s">
        <v>35</v>
      </c>
      <c r="D74" s="46">
        <v>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86"/>
  <sheetViews>
    <sheetView topLeftCell="A71" workbookViewId="0">
      <selection activeCell="L82" sqref="L82"/>
    </sheetView>
  </sheetViews>
  <sheetFormatPr defaultRowHeight="15" x14ac:dyDescent="0.25"/>
  <cols>
    <col min="3" max="3" width="35.7109375" customWidth="1"/>
  </cols>
  <sheetData>
    <row r="2" spans="3:4" ht="15.75" thickBot="1" x14ac:dyDescent="0.3"/>
    <row r="3" spans="3:4" ht="15" customHeight="1" x14ac:dyDescent="0.25">
      <c r="C3" s="193" t="s">
        <v>46</v>
      </c>
      <c r="D3" s="126" t="s">
        <v>7</v>
      </c>
    </row>
    <row r="4" spans="3:4" ht="15" customHeight="1" thickBot="1" x14ac:dyDescent="0.3">
      <c r="C4" s="193"/>
      <c r="D4" s="127"/>
    </row>
    <row r="5" spans="3:4" x14ac:dyDescent="0.25">
      <c r="C5" s="25" t="s">
        <v>31</v>
      </c>
      <c r="D5" s="40">
        <v>29</v>
      </c>
    </row>
    <row r="6" spans="3:4" x14ac:dyDescent="0.25">
      <c r="C6" s="25" t="s">
        <v>32</v>
      </c>
      <c r="D6" s="40">
        <v>11</v>
      </c>
    </row>
    <row r="7" spans="3:4" x14ac:dyDescent="0.25">
      <c r="C7" s="25" t="s">
        <v>33</v>
      </c>
      <c r="D7" s="40">
        <v>11</v>
      </c>
    </row>
    <row r="8" spans="3:4" x14ac:dyDescent="0.25">
      <c r="C8" s="25" t="s">
        <v>34</v>
      </c>
      <c r="D8" s="40">
        <v>30</v>
      </c>
    </row>
    <row r="9" spans="3:4" x14ac:dyDescent="0.25">
      <c r="C9" s="25" t="s">
        <v>35</v>
      </c>
      <c r="D9" s="40">
        <v>3</v>
      </c>
    </row>
    <row r="12" spans="3:4" x14ac:dyDescent="0.25">
      <c r="C12" s="25" t="s">
        <v>31</v>
      </c>
      <c r="D12" s="40">
        <v>32</v>
      </c>
    </row>
    <row r="13" spans="3:4" x14ac:dyDescent="0.25">
      <c r="C13" s="25" t="s">
        <v>32</v>
      </c>
      <c r="D13" s="40">
        <v>13</v>
      </c>
    </row>
    <row r="14" spans="3:4" x14ac:dyDescent="0.25">
      <c r="C14" s="25" t="s">
        <v>33</v>
      </c>
      <c r="D14" s="40">
        <v>13</v>
      </c>
    </row>
    <row r="15" spans="3:4" x14ac:dyDescent="0.25">
      <c r="C15" s="25" t="s">
        <v>34</v>
      </c>
      <c r="D15" s="40">
        <v>22</v>
      </c>
    </row>
    <row r="16" spans="3:4" x14ac:dyDescent="0.25">
      <c r="C16" s="25" t="s">
        <v>35</v>
      </c>
      <c r="D16" s="40">
        <v>4</v>
      </c>
    </row>
    <row r="18" spans="3:4" x14ac:dyDescent="0.25">
      <c r="C18" s="25" t="s">
        <v>31</v>
      </c>
      <c r="D18" s="40">
        <v>16</v>
      </c>
    </row>
    <row r="19" spans="3:4" x14ac:dyDescent="0.25">
      <c r="C19" s="25" t="s">
        <v>32</v>
      </c>
      <c r="D19" s="40">
        <v>16</v>
      </c>
    </row>
    <row r="20" spans="3:4" x14ac:dyDescent="0.25">
      <c r="C20" s="25" t="s">
        <v>33</v>
      </c>
      <c r="D20" s="40">
        <v>10</v>
      </c>
    </row>
    <row r="21" spans="3:4" x14ac:dyDescent="0.25">
      <c r="C21" s="25" t="s">
        <v>34</v>
      </c>
      <c r="D21" s="40">
        <v>20</v>
      </c>
    </row>
    <row r="22" spans="3:4" x14ac:dyDescent="0.25">
      <c r="C22" s="25" t="s">
        <v>35</v>
      </c>
      <c r="D22" s="40">
        <v>22</v>
      </c>
    </row>
    <row r="27" spans="3:4" x14ac:dyDescent="0.25">
      <c r="C27" s="25" t="s">
        <v>31</v>
      </c>
      <c r="D27" s="40">
        <v>25</v>
      </c>
    </row>
    <row r="28" spans="3:4" x14ac:dyDescent="0.25">
      <c r="C28" s="25" t="s">
        <v>32</v>
      </c>
      <c r="D28" s="40">
        <v>11</v>
      </c>
    </row>
    <row r="29" spans="3:4" x14ac:dyDescent="0.25">
      <c r="C29" s="25" t="s">
        <v>33</v>
      </c>
      <c r="D29" s="40">
        <v>13</v>
      </c>
    </row>
    <row r="30" spans="3:4" x14ac:dyDescent="0.25">
      <c r="C30" s="25" t="s">
        <v>34</v>
      </c>
      <c r="D30" s="40">
        <v>25</v>
      </c>
    </row>
    <row r="31" spans="3:4" x14ac:dyDescent="0.25">
      <c r="C31" s="25" t="s">
        <v>35</v>
      </c>
      <c r="D31" s="40">
        <v>10</v>
      </c>
    </row>
    <row r="38" spans="3:4" x14ac:dyDescent="0.25">
      <c r="C38" s="25" t="s">
        <v>31</v>
      </c>
      <c r="D38" s="40">
        <v>22</v>
      </c>
    </row>
    <row r="39" spans="3:4" x14ac:dyDescent="0.25">
      <c r="C39" s="25" t="s">
        <v>32</v>
      </c>
      <c r="D39" s="40">
        <v>8</v>
      </c>
    </row>
    <row r="40" spans="3:4" x14ac:dyDescent="0.25">
      <c r="C40" s="25" t="s">
        <v>33</v>
      </c>
      <c r="D40" s="40">
        <v>22</v>
      </c>
    </row>
    <row r="41" spans="3:4" x14ac:dyDescent="0.25">
      <c r="C41" s="25" t="s">
        <v>34</v>
      </c>
      <c r="D41" s="40">
        <v>27</v>
      </c>
    </row>
    <row r="42" spans="3:4" x14ac:dyDescent="0.25">
      <c r="C42" s="25" t="s">
        <v>35</v>
      </c>
      <c r="D42" s="40">
        <v>5</v>
      </c>
    </row>
    <row r="45" spans="3:4" x14ac:dyDescent="0.25">
      <c r="C45" s="25" t="s">
        <v>31</v>
      </c>
      <c r="D45" s="40">
        <v>23</v>
      </c>
    </row>
    <row r="46" spans="3:4" x14ac:dyDescent="0.25">
      <c r="C46" s="25" t="s">
        <v>32</v>
      </c>
      <c r="D46" s="40">
        <v>13</v>
      </c>
    </row>
    <row r="47" spans="3:4" x14ac:dyDescent="0.25">
      <c r="C47" s="25" t="s">
        <v>33</v>
      </c>
      <c r="D47" s="40">
        <v>3</v>
      </c>
    </row>
    <row r="48" spans="3:4" x14ac:dyDescent="0.25">
      <c r="C48" s="25" t="s">
        <v>34</v>
      </c>
      <c r="D48" s="40">
        <v>19</v>
      </c>
    </row>
    <row r="49" spans="3:4" x14ac:dyDescent="0.25">
      <c r="C49" s="25" t="s">
        <v>35</v>
      </c>
      <c r="D49" s="40">
        <v>26</v>
      </c>
    </row>
    <row r="52" spans="3:4" x14ac:dyDescent="0.25">
      <c r="C52" s="25" t="s">
        <v>31</v>
      </c>
      <c r="D52" s="40">
        <v>27</v>
      </c>
    </row>
    <row r="53" spans="3:4" x14ac:dyDescent="0.25">
      <c r="C53" s="25" t="s">
        <v>32</v>
      </c>
      <c r="D53" s="40">
        <v>13</v>
      </c>
    </row>
    <row r="54" spans="3:4" x14ac:dyDescent="0.25">
      <c r="C54" s="25" t="s">
        <v>33</v>
      </c>
      <c r="D54" s="40">
        <v>14</v>
      </c>
    </row>
    <row r="55" spans="3:4" x14ac:dyDescent="0.25">
      <c r="C55" s="25" t="s">
        <v>34</v>
      </c>
      <c r="D55" s="40">
        <v>15</v>
      </c>
    </row>
    <row r="56" spans="3:4" x14ac:dyDescent="0.25">
      <c r="C56" s="25" t="s">
        <v>35</v>
      </c>
      <c r="D56" s="40">
        <v>15</v>
      </c>
    </row>
    <row r="63" spans="3:4" x14ac:dyDescent="0.25">
      <c r="C63" s="25" t="s">
        <v>31</v>
      </c>
      <c r="D63" s="40">
        <v>18</v>
      </c>
    </row>
    <row r="64" spans="3:4" x14ac:dyDescent="0.25">
      <c r="C64" s="25" t="s">
        <v>32</v>
      </c>
      <c r="D64" s="40">
        <v>7</v>
      </c>
    </row>
    <row r="65" spans="3:4" x14ac:dyDescent="0.25">
      <c r="C65" s="25" t="s">
        <v>33</v>
      </c>
      <c r="D65" s="40">
        <v>11</v>
      </c>
    </row>
    <row r="66" spans="3:4" x14ac:dyDescent="0.25">
      <c r="C66" s="25" t="s">
        <v>34</v>
      </c>
      <c r="D66" s="40">
        <v>19</v>
      </c>
    </row>
    <row r="67" spans="3:4" x14ac:dyDescent="0.25">
      <c r="C67" s="25" t="s">
        <v>35</v>
      </c>
      <c r="D67" s="40">
        <v>29</v>
      </c>
    </row>
    <row r="70" spans="3:4" x14ac:dyDescent="0.25">
      <c r="C70" s="25" t="s">
        <v>31</v>
      </c>
      <c r="D70" s="40">
        <v>18</v>
      </c>
    </row>
    <row r="71" spans="3:4" x14ac:dyDescent="0.25">
      <c r="C71" s="25" t="s">
        <v>32</v>
      </c>
      <c r="D71" s="40">
        <v>7</v>
      </c>
    </row>
    <row r="72" spans="3:4" x14ac:dyDescent="0.25">
      <c r="C72" s="25" t="s">
        <v>33</v>
      </c>
      <c r="D72" s="40">
        <v>11</v>
      </c>
    </row>
    <row r="73" spans="3:4" x14ac:dyDescent="0.25">
      <c r="C73" s="25" t="s">
        <v>34</v>
      </c>
      <c r="D73" s="40">
        <v>19</v>
      </c>
    </row>
    <row r="74" spans="3:4" x14ac:dyDescent="0.25">
      <c r="C74" s="25" t="s">
        <v>35</v>
      </c>
      <c r="D74" s="40">
        <v>29</v>
      </c>
    </row>
    <row r="76" spans="3:4" x14ac:dyDescent="0.25">
      <c r="C76" s="25" t="s">
        <v>31</v>
      </c>
      <c r="D76" s="40">
        <v>12</v>
      </c>
    </row>
    <row r="77" spans="3:4" x14ac:dyDescent="0.25">
      <c r="C77" s="25" t="s">
        <v>32</v>
      </c>
      <c r="D77" s="40">
        <v>5</v>
      </c>
    </row>
    <row r="78" spans="3:4" x14ac:dyDescent="0.25">
      <c r="C78" s="25" t="s">
        <v>33</v>
      </c>
      <c r="D78" s="40">
        <v>13</v>
      </c>
    </row>
    <row r="79" spans="3:4" x14ac:dyDescent="0.25">
      <c r="C79" s="25" t="s">
        <v>34</v>
      </c>
      <c r="D79" s="40">
        <v>19</v>
      </c>
    </row>
    <row r="80" spans="3:4" x14ac:dyDescent="0.25">
      <c r="C80" s="25" t="s">
        <v>35</v>
      </c>
      <c r="D80" s="40">
        <v>35</v>
      </c>
    </row>
    <row r="82" spans="3:4" x14ac:dyDescent="0.25">
      <c r="C82" s="25" t="s">
        <v>31</v>
      </c>
      <c r="D82" s="40">
        <v>30</v>
      </c>
    </row>
    <row r="83" spans="3:4" x14ac:dyDescent="0.25">
      <c r="C83" s="25" t="s">
        <v>32</v>
      </c>
      <c r="D83" s="40">
        <v>19</v>
      </c>
    </row>
    <row r="84" spans="3:4" x14ac:dyDescent="0.25">
      <c r="C84" s="25" t="s">
        <v>33</v>
      </c>
      <c r="D84" s="40">
        <v>13</v>
      </c>
    </row>
    <row r="85" spans="3:4" x14ac:dyDescent="0.25">
      <c r="C85" s="25" t="s">
        <v>34</v>
      </c>
      <c r="D85" s="40">
        <v>16</v>
      </c>
    </row>
    <row r="86" spans="3:4" x14ac:dyDescent="0.25">
      <c r="C86" s="25" t="s">
        <v>35</v>
      </c>
      <c r="D86" s="40">
        <v>6</v>
      </c>
    </row>
  </sheetData>
  <mergeCells count="2">
    <mergeCell ref="C3:C4"/>
    <mergeCell ref="D3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Section 1.a</vt:lpstr>
      <vt:lpstr>Section 1.b</vt:lpstr>
      <vt:lpstr>Section 2 by gender</vt:lpstr>
      <vt:lpstr>Section 2 by Location</vt:lpstr>
      <vt:lpstr>Section 3 by gender</vt:lpstr>
      <vt:lpstr>Section 3 by location</vt:lpstr>
      <vt:lpstr>Section 4 by gender</vt:lpstr>
      <vt:lpstr>Section 4 y location</vt:lpstr>
      <vt:lpstr>SECTION 5a by gender</vt:lpstr>
      <vt:lpstr>Section 5a by Location</vt:lpstr>
      <vt:lpstr>SECTION 5b by gender</vt:lpstr>
      <vt:lpstr>Section 5b by Location</vt:lpstr>
      <vt:lpstr>Challenges</vt:lpstr>
      <vt:lpstr>Sheet2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2021-09-03T19:00:36Z</dcterms:created>
  <dcterms:modified xsi:type="dcterms:W3CDTF">2021-09-09T15:21:36Z</dcterms:modified>
</cp:coreProperties>
</file>