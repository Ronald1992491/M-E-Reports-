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omments2.xml" ContentType="application/vnd.openxmlformats-officedocument.spreadsheetml.comments+xml"/>
  <Override PartName="/xl/tables/table13.xml" ContentType="application/vnd.openxmlformats-officedocument.spreadsheetml.table+xml"/>
  <Override PartName="/xl/comments3.xml" ContentType="application/vnd.openxmlformats-officedocument.spreadsheetml.comments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drawings/drawing3.xml" ContentType="application/vnd.openxmlformats-officedocument.drawing+xml"/>
  <Override PartName="/xl/tables/table19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comments4.xml" ContentType="application/vnd.openxmlformats-officedocument.spreadsheetml.comments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comments5.xml" ContentType="application/vnd.openxmlformats-officedocument.spreadsheetml.comments+xml"/>
  <Override PartName="/xl/tables/table28.xml" ContentType="application/vnd.openxmlformats-officedocument.spreadsheetml.table+xml"/>
  <Override PartName="/xl/comments6.xml" ContentType="application/vnd.openxmlformats-officedocument.spreadsheetml.comments+xml"/>
  <Override PartName="/xl/tables/table29.xml" ContentType="application/vnd.openxmlformats-officedocument.spreadsheetml.table+xml"/>
  <Override PartName="/xl/comments7.xml" ContentType="application/vnd.openxmlformats-officedocument.spreadsheetml.comments+xml"/>
  <Override PartName="/xl/tables/table30.xml" ContentType="application/vnd.openxmlformats-officedocument.spreadsheetml.table+xml"/>
  <Override PartName="/xl/comments8.xml" ContentType="application/vnd.openxmlformats-officedocument.spreadsheetml.comments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Applications\Hand in Hand\Fight Poverty Endline Evaluation\"/>
    </mc:Choice>
  </mc:AlternateContent>
  <bookViews>
    <workbookView xWindow="0" yWindow="0" windowWidth="20490" windowHeight="7770"/>
  </bookViews>
  <sheets>
    <sheet name="Outcome1 Indicators" sheetId="1" r:id="rId1"/>
    <sheet name="Sheet3" sheetId="13" state="hidden" r:id="rId2"/>
    <sheet name="Outcome2 Indcators" sheetId="2" r:id="rId3"/>
    <sheet name="Output1 Indicators" sheetId="4" r:id="rId4"/>
    <sheet name="Output1 other Indicators" sheetId="5" r:id="rId5"/>
    <sheet name="SHGs Contributions" sheetId="6" r:id="rId6"/>
    <sheet name="Output2 Indicators" sheetId="8" r:id="rId7"/>
    <sheet name="Output3 Indicators" sheetId="9" r:id="rId8"/>
    <sheet name="Output4 Indicators" sheetId="10" r:id="rId9"/>
    <sheet name="Access to Market" sheetId="11" r:id="rId10"/>
    <sheet name="Women in Decision making" sheetId="12" r:id="rId11"/>
    <sheet name="Effect of Covid19" sheetId="14" r:id="rId12"/>
  </sheets>
  <definedNames>
    <definedName name="_xlnm._FilterDatabase" localSheetId="0" hidden="1">'Outcome1 Indicators'!$B$6:$F$8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4" i="14" l="1"/>
  <c r="D44" i="14"/>
  <c r="C44" i="14"/>
  <c r="F43" i="14"/>
  <c r="F42" i="14"/>
  <c r="F31" i="14"/>
  <c r="E34" i="14"/>
  <c r="D34" i="14"/>
  <c r="C34" i="14"/>
  <c r="F33" i="14"/>
  <c r="F32" i="14"/>
  <c r="E24" i="14"/>
  <c r="D24" i="14"/>
  <c r="C24" i="14"/>
  <c r="F23" i="14"/>
  <c r="F22" i="14"/>
  <c r="F20" i="14"/>
  <c r="F21" i="14"/>
  <c r="E12" i="14"/>
  <c r="D12" i="14"/>
  <c r="C12" i="14"/>
  <c r="F11" i="14"/>
  <c r="F10" i="14"/>
  <c r="F9" i="14"/>
  <c r="F8" i="14"/>
  <c r="E19" i="12"/>
  <c r="D19" i="12"/>
  <c r="E16" i="12"/>
  <c r="D16" i="12"/>
  <c r="E13" i="12"/>
  <c r="D13" i="12"/>
  <c r="E10" i="12"/>
  <c r="D10" i="12"/>
  <c r="E19" i="11"/>
  <c r="E16" i="11"/>
  <c r="E13" i="11"/>
  <c r="E10" i="11"/>
  <c r="D12" i="10"/>
  <c r="C12" i="10"/>
  <c r="F12" i="10"/>
  <c r="E12" i="10"/>
  <c r="F43" i="9"/>
  <c r="D43" i="9"/>
  <c r="F40" i="9"/>
  <c r="D40" i="9"/>
  <c r="F44" i="14" l="1"/>
  <c r="F24" i="14"/>
  <c r="F34" i="14"/>
  <c r="F12" i="14"/>
  <c r="E70" i="8"/>
  <c r="D70" i="8"/>
  <c r="C70" i="8"/>
  <c r="F68" i="8"/>
  <c r="F66" i="8"/>
  <c r="F69" i="8"/>
  <c r="F65" i="8"/>
  <c r="F64" i="8"/>
  <c r="F67" i="8"/>
  <c r="F63" i="8"/>
  <c r="F10" i="10"/>
  <c r="F11" i="10"/>
  <c r="E29" i="9"/>
  <c r="D29" i="9"/>
  <c r="C29" i="9"/>
  <c r="F28" i="9"/>
  <c r="F27" i="9"/>
  <c r="E21" i="9"/>
  <c r="D21" i="9"/>
  <c r="C21" i="9"/>
  <c r="F20" i="9"/>
  <c r="F19" i="9"/>
  <c r="E12" i="9"/>
  <c r="D12" i="9"/>
  <c r="C12" i="9"/>
  <c r="F11" i="9"/>
  <c r="F10" i="9"/>
  <c r="E46" i="8"/>
  <c r="D46" i="8"/>
  <c r="C46" i="8"/>
  <c r="F44" i="8"/>
  <c r="F42" i="8"/>
  <c r="F45" i="8"/>
  <c r="F41" i="8"/>
  <c r="F40" i="8"/>
  <c r="F43" i="8"/>
  <c r="F39" i="8"/>
  <c r="F26" i="8"/>
  <c r="F25" i="8"/>
  <c r="F28" i="8"/>
  <c r="F27" i="8"/>
  <c r="F29" i="8"/>
  <c r="F24" i="8"/>
  <c r="F22" i="8"/>
  <c r="E30" i="8"/>
  <c r="D30" i="8"/>
  <c r="C30" i="8"/>
  <c r="F23" i="8"/>
  <c r="D14" i="8"/>
  <c r="D11" i="8"/>
  <c r="E47" i="6"/>
  <c r="F45" i="6"/>
  <c r="F46" i="6"/>
  <c r="F7" i="6"/>
  <c r="F15" i="6"/>
  <c r="F10" i="6"/>
  <c r="F41" i="6"/>
  <c r="F38" i="6"/>
  <c r="F33" i="6"/>
  <c r="F12" i="6"/>
  <c r="F16" i="6"/>
  <c r="F36" i="6"/>
  <c r="F35" i="6"/>
  <c r="F44" i="6"/>
  <c r="F25" i="6"/>
  <c r="F18" i="6"/>
  <c r="F39" i="6"/>
  <c r="F20" i="6"/>
  <c r="F30" i="6"/>
  <c r="F37" i="6"/>
  <c r="F43" i="6"/>
  <c r="F28" i="6"/>
  <c r="F14" i="6"/>
  <c r="F34" i="6"/>
  <c r="F19" i="6"/>
  <c r="F9" i="6"/>
  <c r="F21" i="6"/>
  <c r="F23" i="6"/>
  <c r="F31" i="6"/>
  <c r="F26" i="6"/>
  <c r="F8" i="6"/>
  <c r="F13" i="6"/>
  <c r="F40" i="6"/>
  <c r="F27" i="6"/>
  <c r="F24" i="6"/>
  <c r="F29" i="6"/>
  <c r="F11" i="6"/>
  <c r="F32" i="6"/>
  <c r="F17" i="6"/>
  <c r="F22" i="6"/>
  <c r="F42" i="6"/>
  <c r="D56" i="5"/>
  <c r="D53" i="5"/>
  <c r="E43" i="5"/>
  <c r="D43" i="5"/>
  <c r="C43" i="5"/>
  <c r="F42" i="5"/>
  <c r="F41" i="5"/>
  <c r="F40" i="5"/>
  <c r="E34" i="5"/>
  <c r="D34" i="5"/>
  <c r="C34" i="5"/>
  <c r="F33" i="5"/>
  <c r="F32" i="5"/>
  <c r="F31" i="5"/>
  <c r="F19" i="5"/>
  <c r="E24" i="5"/>
  <c r="D24" i="5"/>
  <c r="C24" i="5"/>
  <c r="F23" i="5"/>
  <c r="F22" i="5"/>
  <c r="F20" i="5"/>
  <c r="F21" i="5"/>
  <c r="E13" i="5"/>
  <c r="F10" i="5"/>
  <c r="F9" i="5"/>
  <c r="F11" i="5"/>
  <c r="F12" i="5"/>
  <c r="F8" i="5"/>
  <c r="D13" i="5"/>
  <c r="C13" i="5"/>
  <c r="F58" i="2"/>
  <c r="F59" i="2"/>
  <c r="F61" i="2"/>
  <c r="F64" i="2"/>
  <c r="F67" i="2"/>
  <c r="F62" i="2"/>
  <c r="F68" i="2"/>
  <c r="F63" i="2"/>
  <c r="F69" i="2"/>
  <c r="F71" i="2"/>
  <c r="F66" i="2"/>
  <c r="F70" i="2"/>
  <c r="F60" i="2"/>
  <c r="F72" i="2"/>
  <c r="F65" i="2"/>
  <c r="C73" i="2"/>
  <c r="D73" i="2"/>
  <c r="E73" i="2"/>
  <c r="F30" i="8" l="1"/>
  <c r="F73" i="2"/>
  <c r="F70" i="8"/>
  <c r="F12" i="9"/>
  <c r="F21" i="9"/>
  <c r="F29" i="9"/>
  <c r="F46" i="8"/>
  <c r="F43" i="5"/>
  <c r="F34" i="5"/>
  <c r="F24" i="5"/>
  <c r="F13" i="5"/>
  <c r="E84" i="2" l="1"/>
  <c r="D84" i="2"/>
  <c r="C84" i="2"/>
  <c r="F83" i="2"/>
  <c r="F82" i="2"/>
  <c r="E51" i="2"/>
  <c r="D51" i="2"/>
  <c r="C51" i="2"/>
  <c r="F49" i="2"/>
  <c r="F50" i="2"/>
  <c r="E39" i="2"/>
  <c r="D39" i="2"/>
  <c r="C39" i="2"/>
  <c r="F38" i="2"/>
  <c r="F37" i="2"/>
  <c r="E30" i="2"/>
  <c r="D30" i="2"/>
  <c r="C30" i="2"/>
  <c r="F29" i="2"/>
  <c r="F28" i="2"/>
  <c r="E21" i="2"/>
  <c r="D21" i="2"/>
  <c r="C21" i="2"/>
  <c r="F20" i="2"/>
  <c r="F19" i="2"/>
  <c r="F11" i="2"/>
  <c r="F10" i="2"/>
  <c r="C12" i="2"/>
  <c r="D12" i="2"/>
  <c r="E12" i="2"/>
  <c r="D84" i="1"/>
  <c r="C84" i="1"/>
  <c r="F84" i="1" s="1"/>
  <c r="F76" i="1"/>
  <c r="F77" i="1"/>
  <c r="F83" i="1"/>
  <c r="F73" i="1"/>
  <c r="F71" i="1"/>
  <c r="F78" i="1"/>
  <c r="F72" i="1"/>
  <c r="F69" i="1"/>
  <c r="F68" i="1"/>
  <c r="F81" i="1"/>
  <c r="F70" i="1"/>
  <c r="F74" i="1"/>
  <c r="F82" i="1"/>
  <c r="F79" i="1"/>
  <c r="F80" i="1"/>
  <c r="F67" i="1"/>
  <c r="F65" i="1"/>
  <c r="F66" i="1"/>
  <c r="F75" i="1"/>
  <c r="F52" i="1"/>
  <c r="F54" i="1"/>
  <c r="F55" i="1"/>
  <c r="F53" i="1"/>
  <c r="F51" i="1"/>
  <c r="E56" i="1"/>
  <c r="D56" i="1"/>
  <c r="C56" i="1"/>
  <c r="F45" i="1"/>
  <c r="E45" i="1"/>
  <c r="D45" i="1"/>
  <c r="C45" i="1"/>
  <c r="E28" i="1"/>
  <c r="E15" i="1"/>
  <c r="F56" i="1" l="1"/>
  <c r="F84" i="2"/>
  <c r="F51" i="2"/>
  <c r="F39" i="2"/>
  <c r="F30" i="2"/>
  <c r="F21" i="2"/>
  <c r="F12" i="2"/>
  <c r="G30" i="1" l="1"/>
  <c r="D30" i="1"/>
  <c r="C30" i="1"/>
  <c r="E27" i="1"/>
  <c r="E26" i="1"/>
  <c r="E29" i="1"/>
  <c r="E25" i="1"/>
  <c r="E24" i="1"/>
  <c r="E23" i="1"/>
  <c r="E30" i="1" l="1"/>
  <c r="E14" i="1"/>
  <c r="G17" i="1"/>
  <c r="E10" i="1"/>
  <c r="E11" i="1"/>
  <c r="E12" i="1"/>
  <c r="E16" i="1"/>
  <c r="E13" i="1"/>
  <c r="C17" i="1"/>
  <c r="D17" i="1"/>
  <c r="F15" i="1" l="1"/>
  <c r="F28" i="1"/>
  <c r="F10" i="1"/>
  <c r="F27" i="1"/>
  <c r="F29" i="1"/>
  <c r="F24" i="1"/>
  <c r="F30" i="1"/>
  <c r="F23" i="1"/>
  <c r="F26" i="1"/>
  <c r="F25" i="1"/>
  <c r="F14" i="1"/>
  <c r="F17" i="1"/>
  <c r="F13" i="1"/>
  <c r="F16" i="1"/>
  <c r="F12" i="1"/>
  <c r="F11" i="1"/>
  <c r="E17" i="1"/>
</calcChain>
</file>

<file path=xl/comments1.xml><?xml version="1.0" encoding="utf-8"?>
<comments xmlns="http://schemas.openxmlformats.org/spreadsheetml/2006/main">
  <authors>
    <author>hp</author>
  </authors>
  <commentList>
    <comment ref="E40" authorId="0" shapeId="0">
      <text>
        <r>
          <rPr>
            <b/>
            <sz val="9"/>
            <color indexed="81"/>
            <rFont val="Tahoma"/>
            <family val="2"/>
          </rPr>
          <t>61.1% of the project participants have agriculture as their other source of income; other than the main one they have.</t>
        </r>
      </text>
    </comment>
    <comment ref="E75" authorId="0" shapeId="0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0"/>
            <color indexed="81"/>
            <rFont val="Tahoma"/>
            <family val="2"/>
          </rPr>
          <t>2.4% of project participants have adopted Minimal/Zero-tillage as a climate-resilient practice</t>
        </r>
      </text>
    </comment>
  </commentList>
</comments>
</file>

<file path=xl/comments2.xml><?xml version="1.0" encoding="utf-8"?>
<comments xmlns="http://schemas.openxmlformats.org/spreadsheetml/2006/main">
  <authors>
    <author>hp</author>
  </authors>
  <commentList>
    <comment ref="E37" authorId="0" shapeId="0">
      <text>
        <r>
          <rPr>
            <b/>
            <sz val="10"/>
            <color indexed="81"/>
            <rFont val="Tahoma"/>
            <family val="2"/>
          </rPr>
          <t>89.8% of poject participants said Yes, they passed the proficiency exams and that they can read and write</t>
        </r>
      </text>
    </comment>
    <comment ref="E58" authorId="0" shapeId="0">
      <text>
        <r>
          <rPr>
            <b/>
            <sz val="9"/>
            <color indexed="81"/>
            <rFont val="Tahoma"/>
            <family val="2"/>
          </rPr>
          <t>21.5% of projects Participants (Both males and females) indicated that they understand their rights to life.</t>
        </r>
      </text>
    </comment>
    <comment ref="E82" authorId="0" shapeId="0">
      <text>
        <r>
          <rPr>
            <b/>
            <sz val="10"/>
            <color indexed="81"/>
            <rFont val="Tahoma"/>
            <family val="2"/>
          </rPr>
          <t>89.8% of poject participants who sat for proficiency exam, said Yes, they passed the proficiency exams and that they can read and write</t>
        </r>
      </text>
    </comment>
  </commentList>
</comments>
</file>

<file path=xl/comments3.xml><?xml version="1.0" encoding="utf-8"?>
<comments xmlns="http://schemas.openxmlformats.org/spreadsheetml/2006/main">
  <authors>
    <author>hp</author>
  </authors>
  <commentList>
    <comment ref="C6" authorId="0" shapeId="0">
      <text>
        <r>
          <rPr>
            <b/>
            <sz val="9"/>
            <color indexed="81"/>
            <rFont val="Tahoma"/>
            <family val="2"/>
          </rPr>
          <t>40 functional Groups have been created so far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>
  <authors>
    <author>hp</author>
  </authors>
  <commentList>
    <comment ref="E39" authorId="0" shapeId="0">
      <text>
        <r>
          <rPr>
            <b/>
            <sz val="9"/>
            <color indexed="81"/>
            <rFont val="Tahoma"/>
            <family val="2"/>
          </rPr>
          <t xml:space="preserve"> 81.1% of the enterprises created are from gricultural sector</t>
        </r>
      </text>
    </comment>
    <comment ref="E63" authorId="0" shapeId="0">
      <text>
        <r>
          <rPr>
            <b/>
            <sz val="9"/>
            <color indexed="81"/>
            <rFont val="Tahoma"/>
            <family val="2"/>
          </rPr>
          <t xml:space="preserve"> 81.1% of the enterprises created are from gricultural sector</t>
        </r>
      </text>
    </comment>
  </commentList>
</comments>
</file>

<file path=xl/comments5.xml><?xml version="1.0" encoding="utf-8"?>
<comments xmlns="http://schemas.openxmlformats.org/spreadsheetml/2006/main">
  <authors>
    <author>hp</author>
  </authors>
  <commentList>
    <comment ref="F39" authorId="0" shapeId="0">
      <text>
        <r>
          <rPr>
            <b/>
            <sz val="9"/>
            <color indexed="81"/>
            <rFont val="Tahoma"/>
            <family val="2"/>
          </rPr>
          <t>9.6% of males who received adult literacy are able to read, write and do some counts</t>
        </r>
      </text>
    </comment>
  </commentList>
</comments>
</file>

<file path=xl/comments6.xml><?xml version="1.0" encoding="utf-8"?>
<comments xmlns="http://schemas.openxmlformats.org/spreadsheetml/2006/main">
  <authors>
    <author>hp</author>
  </authors>
  <commentList>
    <comment ref="E11" authorId="0" shapeId="0">
      <text>
        <r>
          <rPr>
            <b/>
            <sz val="9"/>
            <color indexed="81"/>
            <rFont val="Tahoma"/>
            <family val="2"/>
          </rPr>
          <t>43.5% of project participants have received training on rights awareness and advocacy</t>
        </r>
      </text>
    </comment>
  </commentList>
</comments>
</file>

<file path=xl/comments7.xml><?xml version="1.0" encoding="utf-8"?>
<comments xmlns="http://schemas.openxmlformats.org/spreadsheetml/2006/main">
  <authors>
    <author>hp</author>
  </authors>
  <commentList>
    <comment ref="E9" authorId="0" shapeId="0">
      <text>
        <r>
          <rPr>
            <b/>
            <sz val="9"/>
            <color indexed="81"/>
            <rFont val="Tahoma"/>
            <family val="2"/>
          </rPr>
          <t>9.1% of project participants who have access to market due to project intervention re males</t>
        </r>
      </text>
    </comment>
    <comment ref="E15" authorId="0" shapeId="0">
      <text>
        <r>
          <rPr>
            <b/>
            <sz val="9"/>
            <color indexed="81"/>
            <rFont val="Tahoma"/>
            <family val="2"/>
          </rPr>
          <t>36.4% of project participants who have access to market due to project intervention, are self household heads</t>
        </r>
      </text>
    </comment>
  </commentList>
</comments>
</file>

<file path=xl/comments8.xml><?xml version="1.0" encoding="utf-8"?>
<comments xmlns="http://schemas.openxmlformats.org/spreadsheetml/2006/main">
  <authors>
    <author>hp</author>
  </authors>
  <commentList>
    <comment ref="E8" authorId="0" shapeId="0">
      <text>
        <r>
          <rPr>
            <b/>
            <sz val="9"/>
            <color indexed="81"/>
            <rFont val="Tahoma"/>
            <family val="2"/>
          </rPr>
          <t xml:space="preserve"> O</t>
        </r>
        <r>
          <rPr>
            <b/>
            <sz val="10"/>
            <color indexed="81"/>
            <rFont val="Tahoma"/>
            <family val="2"/>
          </rPr>
          <t>ut of 83 project participants who make self decision, 83.1% are Females</t>
        </r>
      </text>
    </comment>
  </commentList>
</comments>
</file>

<file path=xl/sharedStrings.xml><?xml version="1.0" encoding="utf-8"?>
<sst xmlns="http://schemas.openxmlformats.org/spreadsheetml/2006/main" count="803" uniqueCount="232">
  <si>
    <t>Record respondent’s gender</t>
  </si>
  <si>
    <t>Agricultural Sector</t>
  </si>
  <si>
    <t>Sector</t>
  </si>
  <si>
    <t>Manufaturing Sector</t>
  </si>
  <si>
    <t>Retail Sector</t>
  </si>
  <si>
    <t>Service Sector</t>
  </si>
  <si>
    <t>Transport Sector</t>
  </si>
  <si>
    <t>Overall</t>
  </si>
  <si>
    <t>Hospitality Sector</t>
  </si>
  <si>
    <t>Column1</t>
  </si>
  <si>
    <t>Column2</t>
  </si>
  <si>
    <t>Column3</t>
  </si>
  <si>
    <t>Column4</t>
  </si>
  <si>
    <t>Column5</t>
  </si>
  <si>
    <t>Average</t>
  </si>
  <si>
    <t>Column42</t>
  </si>
  <si>
    <t>Frequency</t>
  </si>
  <si>
    <t>Outcome 1: Vulnerable and marginalised households in Kitui county in Kenya have more secure and sustainable livelihoods.</t>
  </si>
  <si>
    <t>Other Sectors</t>
  </si>
  <si>
    <t>Record Household Head</t>
  </si>
  <si>
    <t>Self</t>
  </si>
  <si>
    <t>Spouse</t>
  </si>
  <si>
    <t>Indicator 1.c: Number of members who demonstrate diversification of income.</t>
  </si>
  <si>
    <t>Indicator 1.a and 1.b: Average change in beneficiaries' net household income and Enterprise Income</t>
  </si>
  <si>
    <t xml:space="preserve"> Males</t>
  </si>
  <si>
    <t>Females</t>
  </si>
  <si>
    <t>Rural</t>
  </si>
  <si>
    <t>Peri-Urban</t>
  </si>
  <si>
    <t>Total</t>
  </si>
  <si>
    <t>% Frequency</t>
  </si>
  <si>
    <t>Record Respondent's Settings</t>
  </si>
  <si>
    <t xml:space="preserve"> Rural</t>
  </si>
  <si>
    <t>Record Respondent's Gender</t>
  </si>
  <si>
    <t>Average Net Income by sector Disagregated by Household Head</t>
  </si>
  <si>
    <t>Disagreggated by Gender</t>
  </si>
  <si>
    <t>Disagreggated by Settings</t>
  </si>
  <si>
    <t>Indicator 1.d: Percentage of members adopting climate-resilient practices in their enterprises.</t>
  </si>
  <si>
    <t>A</t>
  </si>
  <si>
    <t>B</t>
  </si>
  <si>
    <t>C</t>
  </si>
  <si>
    <t>Males</t>
  </si>
  <si>
    <t xml:space="preserve">Minimal/zero-tillage </t>
  </si>
  <si>
    <t xml:space="preserve">Inter-cropping </t>
  </si>
  <si>
    <t xml:space="preserve">Crop rotation </t>
  </si>
  <si>
    <t xml:space="preserve">Cover crops </t>
  </si>
  <si>
    <t>Integrated pest management (IPM) i.e non-chemical use</t>
  </si>
  <si>
    <t xml:space="preserve">Sustainable animal grazing </t>
  </si>
  <si>
    <t>Permaculture</t>
  </si>
  <si>
    <t xml:space="preserve">Agroforestry </t>
  </si>
  <si>
    <t>Tree nursery</t>
  </si>
  <si>
    <t xml:space="preserve">Biogas  </t>
  </si>
  <si>
    <t xml:space="preserve">Drought tolerant crops  </t>
  </si>
  <si>
    <t xml:space="preserve">Gunny sack garden </t>
  </si>
  <si>
    <t xml:space="preserve">Composting  </t>
  </si>
  <si>
    <t xml:space="preserve">Multi-storey garden </t>
  </si>
  <si>
    <t xml:space="preserve">Solar </t>
  </si>
  <si>
    <t xml:space="preserve">Briquette  </t>
  </si>
  <si>
    <t xml:space="preserve">Organic fertilizer  </t>
  </si>
  <si>
    <t xml:space="preserve">Organic pesticide  </t>
  </si>
  <si>
    <t xml:space="preserve">Mandala gardens </t>
  </si>
  <si>
    <t>Outcome 2: Improved literacy and rights awareness among the community.</t>
  </si>
  <si>
    <t>Indicator 2.a: Number of members with basic reading and writing skills.</t>
  </si>
  <si>
    <t>ClimteResilient Practice</t>
  </si>
  <si>
    <t>Received Training on Adult Litracy from HiHEA</t>
  </si>
  <si>
    <t>Yes</t>
  </si>
  <si>
    <t>No</t>
  </si>
  <si>
    <t>Record Respondent's Setting</t>
  </si>
  <si>
    <t>Sat for Proficiency Exam?</t>
  </si>
  <si>
    <t>Male</t>
  </si>
  <si>
    <t>Passed Proficiency Exam?</t>
  </si>
  <si>
    <t>Indicator 2.b: Number of members with the understanding of basic human rights  (Hygiene, Health, education)</t>
  </si>
  <si>
    <t>Received Training on Rights issues and Awareness by HiHEA</t>
  </si>
  <si>
    <t xml:space="preserve">The right to life </t>
  </si>
  <si>
    <t xml:space="preserve">The right to liberty and freedom </t>
  </si>
  <si>
    <t xml:space="preserve">The right to the pursuit of happiness </t>
  </si>
  <si>
    <t xml:space="preserve">The right to live your life free of discrimination </t>
  </si>
  <si>
    <t xml:space="preserve">The right to control what happens to your own body and to make medical decisions for yourself </t>
  </si>
  <si>
    <t xml:space="preserve">The right to freely exercise your religion and practice your religious beliefs without fear of being prosecuted for your beliefs </t>
  </si>
  <si>
    <t xml:space="preserve">The right to be free from prejudice on the basis of race, gender, national origin, color, age or sex </t>
  </si>
  <si>
    <t xml:space="preserve">The right to grow old </t>
  </si>
  <si>
    <t xml:space="preserve">The right to a fair trial and due process of the law </t>
  </si>
  <si>
    <t xml:space="preserve">The right to be free from cruel and unusual punishment </t>
  </si>
  <si>
    <t xml:space="preserve">The right to be free from torture </t>
  </si>
  <si>
    <t xml:space="preserve">The right to be free from slavery </t>
  </si>
  <si>
    <t xml:space="preserve">The right to freedom of speech </t>
  </si>
  <si>
    <t xml:space="preserve">The right to freely associate with whomever you like and to join groups of which you'd like to be a part. </t>
  </si>
  <si>
    <t>The right to freedom of thought</t>
  </si>
  <si>
    <t>Basic Human Rights</t>
  </si>
  <si>
    <t>Indicator 2.c: Number of members who sit for and pass proficiency exams with DACE</t>
  </si>
  <si>
    <t>Indicator 1.a: Number of well-functioning Self-Help Groups (SHGs) created.</t>
  </si>
  <si>
    <t>Group Name</t>
  </si>
  <si>
    <t xml:space="preserve">Number </t>
  </si>
  <si>
    <t>Adult Education class syokithumbi</t>
  </si>
  <si>
    <t>Gwatano</t>
  </si>
  <si>
    <t>JIKAZE KAKUNIKE SELF HELP GROUP.</t>
  </si>
  <si>
    <t>Kaliku SGH</t>
  </si>
  <si>
    <t>KANINI KASEO MWAANI WOMEN GROUP.</t>
  </si>
  <si>
    <t>Katitika self help group</t>
  </si>
  <si>
    <t>Kubamba youth group</t>
  </si>
  <si>
    <t>Kwa Mumo Adult Class SHG</t>
  </si>
  <si>
    <t>KWA VONZA COCOWU SELF HELP GROUP</t>
  </si>
  <si>
    <t>Kwa Vonza Kavovoango SHG</t>
  </si>
  <si>
    <t>Kwanyingi women group</t>
  </si>
  <si>
    <t>Kwiyumya group</t>
  </si>
  <si>
    <t>Kyaamungi self help group</t>
  </si>
  <si>
    <t>KYAMUUNGI BASIC ADULT CLASS</t>
  </si>
  <si>
    <t>Makutano Kakunike SHG</t>
  </si>
  <si>
    <t>Masinga women</t>
  </si>
  <si>
    <t>Mwangaza digital SHG</t>
  </si>
  <si>
    <t>Mwangaza SHG</t>
  </si>
  <si>
    <t>Mwende women SHG</t>
  </si>
  <si>
    <t>NDUNDUNE WOMEN GROUP.</t>
  </si>
  <si>
    <t>Neema Ya Kina Mama SHG</t>
  </si>
  <si>
    <t>Nguma SHG</t>
  </si>
  <si>
    <t>Ngwatano SHG</t>
  </si>
  <si>
    <t>Ona mbee SHG</t>
  </si>
  <si>
    <t>Samakikakwa farmers field school</t>
  </si>
  <si>
    <t>Tengemeo SHG</t>
  </si>
  <si>
    <t>Tisuka self help group</t>
  </si>
  <si>
    <t>Tiva River Environmental YG</t>
  </si>
  <si>
    <t>Tusyoke Muundani</t>
  </si>
  <si>
    <t>Umiisyo Wa Aka Itangini Women group</t>
  </si>
  <si>
    <t>UPENDO SELF HELP GROUP.</t>
  </si>
  <si>
    <t>UTOONI NETWORKING SELF HELP GROUP</t>
  </si>
  <si>
    <t>WENDANO JUA KALI SHG</t>
  </si>
  <si>
    <t>WENDO  WA NTHAILANI WOMEN GROUP</t>
  </si>
  <si>
    <t>WENDO WA KONZA CBO</t>
  </si>
  <si>
    <t>Wendo wa ndovoini</t>
  </si>
  <si>
    <t>Wendo wa Nthunthini</t>
  </si>
  <si>
    <t>Wikwatyo Wa Mui</t>
  </si>
  <si>
    <t>Young Diplomats</t>
  </si>
  <si>
    <t>Woni</t>
  </si>
  <si>
    <t>Indicator 1.b: Number of group members who report sucessfully applying the group management and saving skills taught</t>
  </si>
  <si>
    <t>Successfully Applied Group Formation Skills on:</t>
  </si>
  <si>
    <t>Understand different stages of group formation</t>
  </si>
  <si>
    <t>Keep and maintain proper group records</t>
  </si>
  <si>
    <t>Communicate advantages of being in a group</t>
  </si>
  <si>
    <t>Group constitution making</t>
  </si>
  <si>
    <t>Understand group registration process</t>
  </si>
  <si>
    <t>Disagreggated by Household Head</t>
  </si>
  <si>
    <t>Group Formation Skills Applied</t>
  </si>
  <si>
    <t>Saving Skills Applied</t>
  </si>
  <si>
    <t>Saving on a limited income</t>
  </si>
  <si>
    <t xml:space="preserve"> Savings Skills Applied</t>
  </si>
  <si>
    <t>Make own savings plan</t>
  </si>
  <si>
    <t>Started Table Banking/Merry-Go Round</t>
  </si>
  <si>
    <t>Indicator 1.c: Number of group members with improved access to credit through their internal group saving fund.</t>
  </si>
  <si>
    <t>Disagreggation</t>
  </si>
  <si>
    <t>Gender</t>
  </si>
  <si>
    <t>HouseholD Head</t>
  </si>
  <si>
    <t>Frequency that got access to loan from SHGs</t>
  </si>
  <si>
    <t>Indicator 1.d: Value of cumulative savings established by group members</t>
  </si>
  <si>
    <t xml:space="preserve">Amount  (Ksh.)                                                              </t>
  </si>
  <si>
    <t>Column43</t>
  </si>
  <si>
    <t>Column422</t>
  </si>
  <si>
    <t>Number of Members who contributed</t>
  </si>
  <si>
    <t>Column44</t>
  </si>
  <si>
    <t>Output 2: Group members are able to establish new, or develop existing micro-enterprises, enhancing their ability to generate an income with inputs and financial support from the project.</t>
  </si>
  <si>
    <t xml:space="preserve">Indicator 2.a: Number of group members who receive a  training loan from the Enterprise Incubation Fund </t>
  </si>
  <si>
    <t>Frequency that got access to loan from HiHEA EIF</t>
  </si>
  <si>
    <t>Indicator 2.b: Number of group members who receive a  training loan from External sources</t>
  </si>
  <si>
    <t xml:space="preserve"> Other Sources</t>
  </si>
  <si>
    <t>Friend / Family</t>
  </si>
  <si>
    <t>Bank</t>
  </si>
  <si>
    <t>SHG</t>
  </si>
  <si>
    <t>SACCO</t>
  </si>
  <si>
    <t>Micro Finance Institution (MFI)</t>
  </si>
  <si>
    <t>Money Lender</t>
  </si>
  <si>
    <t>Mobile Lending Platform/App</t>
  </si>
  <si>
    <t>Other</t>
  </si>
  <si>
    <t xml:space="preserve">Indicator 2.c: Number of enterprises that are created or enhanced with direct support from the project.  </t>
  </si>
  <si>
    <t>Enterprise</t>
  </si>
  <si>
    <t xml:space="preserve">Agriculture </t>
  </si>
  <si>
    <t>Manufacturing</t>
  </si>
  <si>
    <t>Retail</t>
  </si>
  <si>
    <t>Service</t>
  </si>
  <si>
    <t>Transport</t>
  </si>
  <si>
    <t xml:space="preserve"> Hospitality</t>
  </si>
  <si>
    <t>Other (Shaylock and secretary)</t>
  </si>
  <si>
    <t xml:space="preserve">Output 3: Group members acquire basic literacy skills. </t>
  </si>
  <si>
    <t>Indicator 3.a: Number of group members trained on how to read, write and count</t>
  </si>
  <si>
    <t>Record Respondent's Household Head</t>
  </si>
  <si>
    <t>Indicator 3.b: Number of group members who report improved ability to read, write and count.</t>
  </si>
  <si>
    <t>Reading and Writing</t>
  </si>
  <si>
    <t>Output 4: Group members are aware and able to claim their rights.</t>
  </si>
  <si>
    <t>Indicator 4.a: Number of members trained on rights awareness and advocacy</t>
  </si>
  <si>
    <t>Indicator 4.b: Number of group leaders who are trained on management and good governance</t>
  </si>
  <si>
    <t>Cummulative Groups Savings</t>
  </si>
  <si>
    <t xml:space="preserve">I could not evaluate this Indicator. No similar question was administered </t>
  </si>
  <si>
    <t>Indicator 3.c: Number of partnerships formalised with relevant stakeholders in the Adult education sector.</t>
  </si>
  <si>
    <t>I could not evaluate this indicator</t>
  </si>
  <si>
    <t>Indicator 2.d: Number of jobs that are created or enhanced with direct support from the project.</t>
  </si>
  <si>
    <t>D</t>
  </si>
  <si>
    <t>Indicator 2.e: Number of green enterprises that are created or enhanced with direct support from the project.</t>
  </si>
  <si>
    <t>E</t>
  </si>
  <si>
    <t>Not able to evaluate this indicator</t>
  </si>
  <si>
    <r>
      <rPr>
        <b/>
        <sz val="9"/>
        <color rgb="FFFF0000"/>
        <rFont val="Arial Black"/>
        <family val="2"/>
      </rPr>
      <t xml:space="preserve">Female </t>
    </r>
    <r>
      <rPr>
        <b/>
        <sz val="9"/>
        <color rgb="FF000000"/>
        <rFont val="Arial Bold"/>
        <family val="2"/>
      </rPr>
      <t xml:space="preserve">  </t>
    </r>
  </si>
  <si>
    <r>
      <rPr>
        <b/>
        <sz val="9"/>
        <color rgb="FFFF0000"/>
        <rFont val="Arial Black"/>
        <family val="2"/>
      </rPr>
      <t xml:space="preserve">Male </t>
    </r>
    <r>
      <rPr>
        <b/>
        <sz val="9"/>
        <color rgb="FF000000"/>
        <rFont val="Arial Bold"/>
        <family val="2"/>
      </rPr>
      <t xml:space="preserve">               </t>
    </r>
  </si>
  <si>
    <t>Household Head</t>
  </si>
  <si>
    <t>Access to new Market due project intervention</t>
  </si>
  <si>
    <t>Disagreggated by Household Head and Gender</t>
  </si>
  <si>
    <t>Decision Making</t>
  </si>
  <si>
    <t>Jointly (Spouse and self)</t>
  </si>
  <si>
    <t>Respondent and another household member jointly</t>
  </si>
  <si>
    <t>Don't mind about this. Just Check on the Graph below. Navigate through each bar to see details.</t>
  </si>
  <si>
    <t>Average Net Income by sector Disagregated by gender</t>
  </si>
  <si>
    <t>Column6</t>
  </si>
  <si>
    <t>Access to market linkage due to project intervention</t>
  </si>
  <si>
    <t>Closed</t>
  </si>
  <si>
    <t>Extent of Effect of Covid19 on Enterprises</t>
  </si>
  <si>
    <t>Great Extent</t>
  </si>
  <si>
    <t>Moderate</t>
  </si>
  <si>
    <t>Little</t>
  </si>
  <si>
    <t>No Change</t>
  </si>
  <si>
    <t>How Enterprises coped up Covid19</t>
  </si>
  <si>
    <t>Retrenched Staff</t>
  </si>
  <si>
    <t>Reduced stock/product</t>
  </si>
  <si>
    <t>Ventured Online</t>
  </si>
  <si>
    <t>Did Nothing</t>
  </si>
  <si>
    <t>Confidence of Recovering from Covid 19 Effect</t>
  </si>
  <si>
    <t>Very Much Confident</t>
  </si>
  <si>
    <t>Slightly Confident</t>
  </si>
  <si>
    <t>No confidence at all</t>
  </si>
  <si>
    <t>Starting Another business due to closure due Covid19 closure</t>
  </si>
  <si>
    <t>. Buying and selling second clothes</t>
  </si>
  <si>
    <t>.Grocery shop</t>
  </si>
  <si>
    <t>. Making and selling soap</t>
  </si>
  <si>
    <t>. Selling vegetables</t>
  </si>
  <si>
    <t>. General shop (though closed again due to low profit)</t>
  </si>
  <si>
    <t>. Agriculture</t>
  </si>
  <si>
    <t>Types of Businesses formed by 6 Individuals who started new businesses</t>
  </si>
  <si>
    <t>Effects of Covid 19 on Enterprises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</si>
</sst>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#,##0;[Red]#,##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Arial Bold"/>
      <family val="2"/>
    </font>
    <font>
      <b/>
      <sz val="9"/>
      <color rgb="FF000000"/>
      <name val="Arial Bold"/>
      <family val="2"/>
    </font>
    <font>
      <b/>
      <sz val="9"/>
      <color rgb="FFFF0000"/>
      <name val="Arial Black"/>
      <family val="2"/>
    </font>
    <font>
      <b/>
      <sz val="9"/>
      <color rgb="FFFF0000"/>
      <name val="Arial Bold"/>
      <family val="2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indexed="81"/>
      <name val="Tahoma"/>
      <family val="2"/>
    </font>
    <font>
      <b/>
      <sz val="14"/>
      <color theme="1"/>
      <name val="Calibri"/>
      <family val="2"/>
      <scheme val="minor"/>
    </font>
    <font>
      <b/>
      <sz val="10"/>
      <color rgb="FF000000"/>
      <name val="Arial Bold"/>
    </font>
    <font>
      <b/>
      <sz val="10"/>
      <color rgb="FF000000"/>
      <name val="Arial Bold"/>
      <family val="2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Arial Bold"/>
    </font>
    <font>
      <b/>
      <sz val="11"/>
      <name val="Arial Bold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b/>
      <u/>
      <sz val="12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E5F0FD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0" tint="-0.14999847407452621"/>
        <bgColor indexed="64"/>
      </patternFill>
    </fill>
  </fills>
  <borders count="66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rgb="FF000000"/>
      </bottom>
      <diagonal/>
    </border>
    <border>
      <left style="thick">
        <color indexed="64"/>
      </left>
      <right style="thick">
        <color rgb="FF000000"/>
      </right>
      <top style="thick">
        <color rgb="FF000000"/>
      </top>
      <bottom/>
      <diagonal/>
    </border>
    <border>
      <left style="thick">
        <color indexed="64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rgb="FF000000"/>
      </top>
      <bottom/>
      <diagonal/>
    </border>
    <border>
      <left style="thick">
        <color indexed="64"/>
      </left>
      <right/>
      <top style="thick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000000"/>
      </bottom>
      <diagonal/>
    </border>
    <border>
      <left/>
      <right/>
      <top style="thick">
        <color rgb="FF000000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ck">
        <color rgb="FF000000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rgb="FF000000"/>
      </left>
      <right style="thick">
        <color indexed="64"/>
      </right>
      <top style="thick">
        <color rgb="FF000000"/>
      </top>
      <bottom/>
      <diagonal/>
    </border>
    <border>
      <left style="thick">
        <color rgb="FF000000"/>
      </left>
      <right style="thick">
        <color indexed="64"/>
      </right>
      <top/>
      <bottom style="thick">
        <color indexed="64"/>
      </bottom>
      <diagonal/>
    </border>
    <border>
      <left style="thin">
        <color theme="8" tint="0.39997558519241921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theme="8" tint="0.39997558519241921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</borders>
  <cellStyleXfs count="28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</cellStyleXfs>
  <cellXfs count="352">
    <xf numFmtId="0" fontId="0" fillId="0" borderId="0" xfId="0"/>
    <xf numFmtId="0" fontId="2" fillId="0" borderId="10" xfId="0" applyFont="1" applyFill="1" applyBorder="1" applyAlignment="1">
      <alignment horizontal="left"/>
    </xf>
    <xf numFmtId="3" fontId="2" fillId="0" borderId="11" xfId="0" applyNumberFormat="1" applyFont="1" applyFill="1" applyBorder="1" applyAlignment="1">
      <alignment horizontal="right" vertical="top"/>
    </xf>
    <xf numFmtId="3" fontId="2" fillId="0" borderId="12" xfId="0" applyNumberFormat="1" applyFont="1" applyFill="1" applyBorder="1" applyAlignment="1">
      <alignment horizontal="right" vertical="top"/>
    </xf>
    <xf numFmtId="3" fontId="2" fillId="0" borderId="12" xfId="0" applyNumberFormat="1" applyFont="1" applyFill="1" applyBorder="1"/>
    <xf numFmtId="0" fontId="2" fillId="0" borderId="9" xfId="0" applyFont="1" applyBorder="1" applyAlignment="1">
      <alignment horizontal="left"/>
    </xf>
    <xf numFmtId="3" fontId="2" fillId="0" borderId="9" xfId="0" applyNumberFormat="1" applyFont="1" applyBorder="1"/>
    <xf numFmtId="0" fontId="0" fillId="0" borderId="9" xfId="0" applyFont="1" applyFill="1" applyBorder="1" applyAlignment="1">
      <alignment horizontal="left"/>
    </xf>
    <xf numFmtId="3" fontId="0" fillId="0" borderId="9" xfId="0" applyNumberFormat="1" applyFont="1" applyFill="1" applyBorder="1" applyAlignment="1">
      <alignment horizontal="right" vertical="top"/>
    </xf>
    <xf numFmtId="3" fontId="0" fillId="0" borderId="9" xfId="0" applyNumberFormat="1" applyFont="1" applyFill="1" applyBorder="1"/>
    <xf numFmtId="3" fontId="0" fillId="0" borderId="9" xfId="0" applyNumberFormat="1" applyFont="1" applyFill="1" applyBorder="1" applyAlignment="1">
      <alignment horizontal="right"/>
    </xf>
    <xf numFmtId="0" fontId="0" fillId="0" borderId="9" xfId="0" applyFont="1" applyFill="1" applyBorder="1" applyAlignment="1">
      <alignment horizontal="left" vertical="center"/>
    </xf>
    <xf numFmtId="3" fontId="0" fillId="0" borderId="9" xfId="0" applyNumberFormat="1" applyFont="1" applyFill="1" applyBorder="1" applyAlignment="1">
      <alignment horizontal="right" vertical="center"/>
    </xf>
    <xf numFmtId="3" fontId="2" fillId="0" borderId="0" xfId="0" applyNumberFormat="1" applyFont="1" applyFill="1" applyBorder="1"/>
    <xf numFmtId="164" fontId="2" fillId="0" borderId="9" xfId="1" applyNumberFormat="1" applyFont="1" applyBorder="1"/>
    <xf numFmtId="3" fontId="2" fillId="0" borderId="9" xfId="0" applyNumberFormat="1" applyFont="1" applyFill="1" applyBorder="1" applyAlignment="1">
      <alignment horizontal="right"/>
    </xf>
    <xf numFmtId="3" fontId="2" fillId="0" borderId="13" xfId="0" applyNumberFormat="1" applyFont="1" applyFill="1" applyBorder="1"/>
    <xf numFmtId="3" fontId="0" fillId="6" borderId="9" xfId="0" applyNumberFormat="1" applyFont="1" applyFill="1" applyBorder="1" applyAlignment="1">
      <alignment horizontal="right" vertical="top"/>
    </xf>
    <xf numFmtId="3" fontId="0" fillId="6" borderId="9" xfId="0" applyNumberFormat="1" applyFont="1" applyFill="1" applyBorder="1" applyAlignment="1">
      <alignment horizontal="right"/>
    </xf>
    <xf numFmtId="3" fontId="0" fillId="6" borderId="9" xfId="0" applyNumberFormat="1" applyFont="1" applyFill="1" applyBorder="1" applyAlignment="1">
      <alignment horizontal="right" vertical="center"/>
    </xf>
    <xf numFmtId="3" fontId="0" fillId="7" borderId="9" xfId="0" applyNumberFormat="1" applyFont="1" applyFill="1" applyBorder="1" applyAlignment="1">
      <alignment horizontal="right"/>
    </xf>
    <xf numFmtId="3" fontId="2" fillId="7" borderId="9" xfId="0" applyNumberFormat="1" applyFont="1" applyFill="1" applyBorder="1" applyAlignment="1">
      <alignment horizontal="right"/>
    </xf>
    <xf numFmtId="0" fontId="5" fillId="2" borderId="2" xfId="9" applyFont="1" applyFill="1" applyBorder="1" applyAlignment="1">
      <alignment horizontal="center" wrapText="1"/>
    </xf>
    <xf numFmtId="0" fontId="6" fillId="2" borderId="3" xfId="10" applyFont="1" applyFill="1" applyBorder="1" applyAlignment="1">
      <alignment horizontal="center" wrapText="1"/>
    </xf>
    <xf numFmtId="3" fontId="2" fillId="0" borderId="17" xfId="0" applyNumberFormat="1" applyFont="1" applyFill="1" applyBorder="1" applyAlignment="1">
      <alignment horizontal="right" vertical="top"/>
    </xf>
    <xf numFmtId="3" fontId="0" fillId="6" borderId="9" xfId="0" applyNumberFormat="1" applyFont="1" applyFill="1" applyBorder="1" applyAlignment="1">
      <alignment horizontal="center" vertical="center"/>
    </xf>
    <xf numFmtId="3" fontId="0" fillId="0" borderId="9" xfId="0" applyNumberFormat="1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164" fontId="0" fillId="0" borderId="9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7" borderId="9" xfId="0" applyNumberFormat="1" applyFont="1" applyFill="1" applyBorder="1" applyAlignment="1">
      <alignment horizontal="center" vertical="center"/>
    </xf>
    <xf numFmtId="0" fontId="6" fillId="2" borderId="2" xfId="10" applyFont="1" applyFill="1" applyBorder="1" applyAlignment="1">
      <alignment horizontal="center" wrapText="1"/>
    </xf>
    <xf numFmtId="0" fontId="0" fillId="0" borderId="23" xfId="0" applyBorder="1" applyAlignment="1">
      <alignment horizontal="center" vertical="center"/>
    </xf>
    <xf numFmtId="0" fontId="0" fillId="0" borderId="25" xfId="0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0" fillId="0" borderId="24" xfId="0" applyBorder="1"/>
    <xf numFmtId="0" fontId="2" fillId="0" borderId="26" xfId="0" applyFont="1" applyBorder="1" applyAlignment="1">
      <alignment horizontal="center" vertical="center"/>
    </xf>
    <xf numFmtId="3" fontId="2" fillId="0" borderId="27" xfId="0" applyNumberFormat="1" applyFont="1" applyBorder="1" applyAlignment="1">
      <alignment horizontal="center" vertical="center"/>
    </xf>
    <xf numFmtId="164" fontId="2" fillId="0" borderId="27" xfId="1" applyNumberFormat="1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7" xfId="0" applyBorder="1"/>
    <xf numFmtId="0" fontId="5" fillId="2" borderId="16" xfId="9" applyFont="1" applyFill="1" applyBorder="1" applyAlignment="1">
      <alignment horizontal="center" vertical="center" wrapText="1"/>
    </xf>
    <xf numFmtId="0" fontId="6" fillId="2" borderId="2" xfId="1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vertical="center"/>
    </xf>
    <xf numFmtId="0" fontId="0" fillId="0" borderId="9" xfId="0" applyFont="1" applyFill="1" applyBorder="1" applyAlignment="1">
      <alignment horizontal="center" vertical="center" wrapText="1"/>
    </xf>
    <xf numFmtId="0" fontId="0" fillId="0" borderId="25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164" fontId="0" fillId="0" borderId="0" xfId="0" applyNumberFormat="1"/>
    <xf numFmtId="164" fontId="2" fillId="0" borderId="27" xfId="0" applyNumberFormat="1" applyFont="1" applyBorder="1" applyAlignment="1">
      <alignment horizontal="center" vertical="center"/>
    </xf>
    <xf numFmtId="3" fontId="0" fillId="0" borderId="13" xfId="0" applyNumberFormat="1" applyFont="1" applyFill="1" applyBorder="1"/>
    <xf numFmtId="0" fontId="0" fillId="0" borderId="0" xfId="0" applyBorder="1"/>
    <xf numFmtId="0" fontId="0" fillId="0" borderId="31" xfId="0" applyBorder="1" applyAlignment="1">
      <alignment horizontal="center" vertical="center"/>
    </xf>
    <xf numFmtId="3" fontId="0" fillId="4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3" xfId="0" applyBorder="1" applyAlignment="1">
      <alignment horizontal="center" vertical="center"/>
    </xf>
    <xf numFmtId="0" fontId="0" fillId="0" borderId="32" xfId="0" applyBorder="1"/>
    <xf numFmtId="0" fontId="0" fillId="0" borderId="20" xfId="0" applyBorder="1" applyAlignment="1">
      <alignment horizontal="center" vertical="center"/>
    </xf>
    <xf numFmtId="0" fontId="2" fillId="0" borderId="18" xfId="0" applyFont="1" applyFill="1" applyBorder="1" applyAlignment="1">
      <alignment horizontal="left"/>
    </xf>
    <xf numFmtId="0" fontId="2" fillId="0" borderId="34" xfId="0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2" fillId="0" borderId="32" xfId="0" applyFont="1" applyFill="1" applyBorder="1" applyAlignment="1">
      <alignment horizontal="left"/>
    </xf>
    <xf numFmtId="3" fontId="2" fillId="0" borderId="21" xfId="0" applyNumberFormat="1" applyFont="1" applyFill="1" applyBorder="1"/>
    <xf numFmtId="164" fontId="0" fillId="0" borderId="31" xfId="1" applyNumberFormat="1" applyFont="1" applyFill="1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0" fillId="0" borderId="33" xfId="0" applyBorder="1" applyAlignment="1">
      <alignment horizontal="center"/>
    </xf>
    <xf numFmtId="0" fontId="2" fillId="0" borderId="25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30" xfId="0" applyBorder="1"/>
    <xf numFmtId="3" fontId="2" fillId="0" borderId="9" xfId="0" applyNumberFormat="1" applyFont="1" applyFill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0" fillId="0" borderId="26" xfId="0" applyFont="1" applyFill="1" applyBorder="1" applyAlignment="1">
      <alignment horizontal="center" vertical="center"/>
    </xf>
    <xf numFmtId="3" fontId="2" fillId="0" borderId="37" xfId="0" applyNumberFormat="1" applyFont="1" applyBorder="1" applyAlignment="1">
      <alignment horizontal="center" vertical="center"/>
    </xf>
    <xf numFmtId="3" fontId="2" fillId="0" borderId="27" xfId="0" applyNumberFormat="1" applyFont="1" applyFill="1" applyBorder="1" applyAlignment="1">
      <alignment horizontal="center" vertical="center"/>
    </xf>
    <xf numFmtId="3" fontId="2" fillId="0" borderId="39" xfId="0" applyNumberFormat="1" applyFont="1" applyFill="1" applyBorder="1" applyAlignment="1">
      <alignment horizontal="center" vertical="center"/>
    </xf>
    <xf numFmtId="3" fontId="2" fillId="0" borderId="38" xfId="0" applyNumberFormat="1" applyFont="1" applyBorder="1" applyAlignment="1">
      <alignment horizontal="center" vertical="center"/>
    </xf>
    <xf numFmtId="164" fontId="2" fillId="0" borderId="37" xfId="1" applyNumberFormat="1" applyFont="1" applyBorder="1" applyAlignment="1">
      <alignment horizontal="center" vertical="center"/>
    </xf>
    <xf numFmtId="164" fontId="0" fillId="0" borderId="27" xfId="21" applyNumberFormat="1" applyFont="1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9" borderId="0" xfId="0" applyFill="1"/>
    <xf numFmtId="0" fontId="2" fillId="9" borderId="0" xfId="0" applyFont="1" applyFill="1"/>
    <xf numFmtId="164" fontId="2" fillId="0" borderId="38" xfId="1" applyNumberFormat="1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0" fillId="0" borderId="42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/>
    </xf>
    <xf numFmtId="3" fontId="2" fillId="0" borderId="44" xfId="0" applyNumberFormat="1" applyFont="1" applyFill="1" applyBorder="1" applyAlignment="1">
      <alignment horizontal="right" vertical="top"/>
    </xf>
    <xf numFmtId="0" fontId="8" fillId="0" borderId="24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0" fillId="6" borderId="22" xfId="0" applyFont="1" applyFill="1" applyBorder="1" applyAlignment="1">
      <alignment horizontal="center" vertical="center"/>
    </xf>
    <xf numFmtId="0" fontId="0" fillId="6" borderId="21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3" fontId="2" fillId="0" borderId="0" xfId="0" applyNumberFormat="1" applyFont="1" applyFill="1" applyBorder="1" applyAlignment="1">
      <alignment horizontal="right" vertical="top"/>
    </xf>
    <xf numFmtId="3" fontId="0" fillId="6" borderId="50" xfId="0" applyNumberFormat="1" applyFont="1" applyFill="1" applyBorder="1" applyAlignment="1">
      <alignment horizontal="center" vertical="center"/>
    </xf>
    <xf numFmtId="3" fontId="2" fillId="0" borderId="2" xfId="0" applyNumberFormat="1" applyFont="1" applyFill="1" applyBorder="1" applyAlignment="1">
      <alignment horizontal="center" vertical="center"/>
    </xf>
    <xf numFmtId="3" fontId="2" fillId="0" borderId="19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3" fontId="0" fillId="6" borderId="47" xfId="0" applyNumberFormat="1" applyFont="1" applyFill="1" applyBorder="1" applyAlignment="1">
      <alignment horizontal="center" vertical="center"/>
    </xf>
    <xf numFmtId="3" fontId="2" fillId="0" borderId="19" xfId="0" applyNumberFormat="1" applyFont="1" applyFill="1" applyBorder="1" applyAlignment="1">
      <alignment horizontal="center" vertical="center"/>
    </xf>
    <xf numFmtId="3" fontId="2" fillId="3" borderId="24" xfId="0" applyNumberFormat="1" applyFont="1" applyFill="1" applyBorder="1" applyAlignment="1">
      <alignment horizontal="center" vertical="center"/>
    </xf>
    <xf numFmtId="3" fontId="2" fillId="0" borderId="32" xfId="0" applyNumberFormat="1" applyFont="1" applyFill="1" applyBorder="1" applyAlignment="1">
      <alignment horizontal="center" vertical="center"/>
    </xf>
    <xf numFmtId="3" fontId="2" fillId="0" borderId="44" xfId="0" applyNumberFormat="1" applyFont="1" applyFill="1" applyBorder="1" applyAlignment="1">
      <alignment horizontal="center" vertical="center"/>
    </xf>
    <xf numFmtId="3" fontId="2" fillId="0" borderId="21" xfId="0" applyNumberFormat="1" applyFont="1" applyFill="1" applyBorder="1" applyAlignment="1">
      <alignment horizontal="center" vertical="center"/>
    </xf>
    <xf numFmtId="0" fontId="8" fillId="3" borderId="52" xfId="0" applyFont="1" applyFill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3" fontId="2" fillId="0" borderId="44" xfId="0" applyNumberFormat="1" applyFont="1" applyFill="1" applyBorder="1"/>
    <xf numFmtId="165" fontId="0" fillId="0" borderId="0" xfId="0" applyNumberFormat="1"/>
    <xf numFmtId="165" fontId="2" fillId="0" borderId="44" xfId="0" applyNumberFormat="1" applyFont="1" applyFill="1" applyBorder="1"/>
    <xf numFmtId="165" fontId="0" fillId="0" borderId="44" xfId="1" applyNumberFormat="1" applyFont="1" applyFill="1" applyBorder="1" applyAlignment="1">
      <alignment horizontal="center" vertical="center"/>
    </xf>
    <xf numFmtId="165" fontId="0" fillId="0" borderId="44" xfId="0" applyNumberFormat="1" applyBorder="1" applyAlignment="1">
      <alignment horizontal="center" vertical="center"/>
    </xf>
    <xf numFmtId="165" fontId="0" fillId="0" borderId="22" xfId="0" applyNumberFormat="1" applyBorder="1" applyAlignment="1">
      <alignment horizontal="center" vertical="center"/>
    </xf>
    <xf numFmtId="3" fontId="0" fillId="0" borderId="0" xfId="0" applyNumberFormat="1"/>
    <xf numFmtId="3" fontId="0" fillId="0" borderId="24" xfId="1" applyNumberFormat="1" applyFont="1" applyFill="1" applyBorder="1" applyAlignment="1">
      <alignment horizontal="center" vertical="center"/>
    </xf>
    <xf numFmtId="3" fontId="0" fillId="0" borderId="24" xfId="0" applyNumberFormat="1" applyBorder="1" applyAlignment="1">
      <alignment horizontal="center"/>
    </xf>
    <xf numFmtId="3" fontId="0" fillId="0" borderId="20" xfId="0" applyNumberFormat="1" applyBorder="1" applyAlignment="1">
      <alignment horizontal="center"/>
    </xf>
    <xf numFmtId="165" fontId="8" fillId="0" borderId="2" xfId="0" applyNumberFormat="1" applyFont="1" applyBorder="1" applyAlignment="1">
      <alignment horizontal="center" vertical="center"/>
    </xf>
    <xf numFmtId="0" fontId="2" fillId="0" borderId="21" xfId="0" applyFont="1" applyFill="1" applyBorder="1" applyAlignment="1">
      <alignment horizontal="left"/>
    </xf>
    <xf numFmtId="0" fontId="0" fillId="0" borderId="53" xfId="0" applyFont="1" applyFill="1" applyBorder="1" applyAlignment="1">
      <alignment horizontal="center" vertical="center"/>
    </xf>
    <xf numFmtId="0" fontId="6" fillId="2" borderId="19" xfId="10" applyFont="1" applyFill="1" applyBorder="1" applyAlignment="1">
      <alignment horizontal="center" vertical="center" wrapText="1"/>
    </xf>
    <xf numFmtId="0" fontId="5" fillId="2" borderId="2" xfId="9" applyFont="1" applyFill="1" applyBorder="1" applyAlignment="1">
      <alignment horizontal="center" vertical="center" wrapText="1"/>
    </xf>
    <xf numFmtId="3" fontId="0" fillId="6" borderId="53" xfId="0" applyNumberFormat="1" applyFont="1" applyFill="1" applyBorder="1" applyAlignment="1">
      <alignment horizontal="center" vertical="center"/>
    </xf>
    <xf numFmtId="3" fontId="2" fillId="0" borderId="32" xfId="0" applyNumberFormat="1" applyFont="1" applyFill="1" applyBorder="1"/>
    <xf numFmtId="164" fontId="0" fillId="0" borderId="45" xfId="1" applyNumberFormat="1" applyFont="1" applyFill="1" applyBorder="1" applyAlignment="1">
      <alignment horizontal="center" vertical="center"/>
    </xf>
    <xf numFmtId="3" fontId="2" fillId="0" borderId="21" xfId="0" applyNumberFormat="1" applyFont="1" applyFill="1" applyBorder="1" applyAlignment="1">
      <alignment horizontal="right" vertical="top"/>
    </xf>
    <xf numFmtId="0" fontId="0" fillId="0" borderId="48" xfId="0" applyBorder="1" applyAlignment="1">
      <alignment horizontal="center" vertical="center"/>
    </xf>
    <xf numFmtId="0" fontId="0" fillId="0" borderId="51" xfId="0" applyFont="1" applyFill="1" applyBorder="1" applyAlignment="1">
      <alignment horizontal="center" vertical="center"/>
    </xf>
    <xf numFmtId="3" fontId="0" fillId="4" borderId="51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2" fillId="0" borderId="19" xfId="1" applyNumberFormat="1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3" fontId="2" fillId="0" borderId="22" xfId="0" applyNumberFormat="1" applyFont="1" applyBorder="1" applyAlignment="1">
      <alignment horizontal="center" vertical="center"/>
    </xf>
    <xf numFmtId="164" fontId="2" fillId="0" borderId="22" xfId="1" applyNumberFormat="1" applyFont="1" applyBorder="1" applyAlignment="1">
      <alignment horizontal="center" vertical="center"/>
    </xf>
    <xf numFmtId="0" fontId="0" fillId="0" borderId="50" xfId="0" applyFont="1" applyFill="1" applyBorder="1" applyAlignment="1">
      <alignment horizontal="center" vertical="center"/>
    </xf>
    <xf numFmtId="3" fontId="0" fillId="4" borderId="50" xfId="0" applyNumberFormat="1" applyFont="1" applyFill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164" fontId="2" fillId="0" borderId="2" xfId="1" applyNumberFormat="1" applyFont="1" applyBorder="1" applyAlignment="1">
      <alignment horizontal="center" vertical="center"/>
    </xf>
    <xf numFmtId="0" fontId="0" fillId="0" borderId="21" xfId="0" applyBorder="1"/>
    <xf numFmtId="0" fontId="0" fillId="0" borderId="44" xfId="0" applyFont="1" applyFill="1" applyBorder="1" applyAlignment="1">
      <alignment horizontal="center" vertical="center"/>
    </xf>
    <xf numFmtId="164" fontId="0" fillId="0" borderId="57" xfId="1" applyNumberFormat="1" applyFont="1" applyFill="1" applyBorder="1" applyAlignment="1">
      <alignment horizontal="center" vertical="center"/>
    </xf>
    <xf numFmtId="164" fontId="0" fillId="0" borderId="17" xfId="21" applyNumberFormat="1" applyFont="1" applyFill="1" applyBorder="1" applyAlignment="1">
      <alignment horizontal="center" vertical="center"/>
    </xf>
    <xf numFmtId="164" fontId="0" fillId="0" borderId="46" xfId="0" applyNumberFormat="1" applyBorder="1" applyAlignment="1">
      <alignment horizontal="center" vertical="center"/>
    </xf>
    <xf numFmtId="3" fontId="2" fillId="0" borderId="16" xfId="0" applyNumberFormat="1" applyFont="1" applyFill="1" applyBorder="1" applyAlignment="1">
      <alignment horizontal="center" vertical="center"/>
    </xf>
    <xf numFmtId="164" fontId="2" fillId="0" borderId="19" xfId="0" applyNumberFormat="1" applyFont="1" applyFill="1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0" fontId="0" fillId="0" borderId="48" xfId="0" applyFont="1" applyFill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3" fontId="2" fillId="0" borderId="36" xfId="0" applyNumberFormat="1" applyFont="1" applyBorder="1" applyAlignment="1">
      <alignment horizontal="center" vertical="center"/>
    </xf>
    <xf numFmtId="164" fontId="2" fillId="0" borderId="49" xfId="1" applyNumberFormat="1" applyFont="1" applyBorder="1" applyAlignment="1">
      <alignment horizontal="center" vertical="center"/>
    </xf>
    <xf numFmtId="0" fontId="0" fillId="0" borderId="59" xfId="0" applyFont="1" applyFill="1" applyBorder="1" applyAlignment="1">
      <alignment horizontal="center" vertical="center"/>
    </xf>
    <xf numFmtId="3" fontId="0" fillId="4" borderId="26" xfId="0" applyNumberFormat="1" applyFont="1" applyFill="1" applyBorder="1" applyAlignment="1">
      <alignment horizontal="center" vertical="center"/>
    </xf>
    <xf numFmtId="3" fontId="0" fillId="4" borderId="33" xfId="0" applyNumberFormat="1" applyFont="1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2" fillId="0" borderId="53" xfId="0" applyFont="1" applyFill="1" applyBorder="1" applyAlignment="1">
      <alignment horizontal="center" vertical="center"/>
    </xf>
    <xf numFmtId="0" fontId="2" fillId="0" borderId="53" xfId="0" applyFont="1" applyFill="1" applyBorder="1" applyAlignment="1">
      <alignment horizontal="center" vertical="center" wrapText="1"/>
    </xf>
    <xf numFmtId="0" fontId="2" fillId="0" borderId="53" xfId="0" applyFont="1" applyBorder="1" applyAlignment="1">
      <alignment horizontal="center" vertical="center"/>
    </xf>
    <xf numFmtId="0" fontId="4" fillId="2" borderId="2" xfId="9" applyFont="1" applyFill="1" applyBorder="1" applyAlignment="1">
      <alignment horizontal="center" vertical="center" wrapText="1"/>
    </xf>
    <xf numFmtId="0" fontId="4" fillId="2" borderId="3" xfId="1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/>
    </xf>
    <xf numFmtId="0" fontId="0" fillId="0" borderId="24" xfId="0" applyNumberFormat="1" applyBorder="1" applyAlignment="1">
      <alignment horizontal="center" vertical="center"/>
    </xf>
    <xf numFmtId="164" fontId="0" fillId="0" borderId="29" xfId="21" applyNumberFormat="1" applyFont="1" applyFill="1" applyBorder="1" applyAlignment="1">
      <alignment horizontal="center" vertical="center"/>
    </xf>
    <xf numFmtId="164" fontId="2" fillId="0" borderId="24" xfId="0" applyNumberFormat="1" applyFont="1" applyFill="1" applyBorder="1" applyAlignment="1">
      <alignment horizontal="center" vertical="center"/>
    </xf>
    <xf numFmtId="0" fontId="2" fillId="0" borderId="24" xfId="0" applyNumberFormat="1" applyFont="1" applyFill="1" applyBorder="1" applyAlignment="1">
      <alignment horizontal="center" vertical="center"/>
    </xf>
    <xf numFmtId="0" fontId="0" fillId="0" borderId="20" xfId="0" applyNumberFormat="1" applyBorder="1" applyAlignment="1">
      <alignment horizontal="center" vertical="center"/>
    </xf>
    <xf numFmtId="0" fontId="0" fillId="0" borderId="32" xfId="0" applyNumberFormat="1" applyBorder="1" applyAlignment="1">
      <alignment horizontal="center" vertical="center"/>
    </xf>
    <xf numFmtId="164" fontId="0" fillId="0" borderId="20" xfId="0" applyNumberFormat="1" applyBorder="1" applyAlignment="1">
      <alignment horizontal="center" vertical="center"/>
    </xf>
    <xf numFmtId="3" fontId="0" fillId="6" borderId="51" xfId="0" applyNumberFormat="1" applyFont="1" applyFill="1" applyBorder="1" applyAlignment="1">
      <alignment horizontal="center" vertical="center"/>
    </xf>
    <xf numFmtId="3" fontId="0" fillId="4" borderId="2" xfId="0" applyNumberFormat="1" applyFont="1" applyFill="1" applyBorder="1" applyAlignment="1">
      <alignment horizontal="center" vertical="center"/>
    </xf>
    <xf numFmtId="0" fontId="2" fillId="0" borderId="19" xfId="0" applyNumberFormat="1" applyFont="1" applyFill="1" applyBorder="1" applyAlignment="1">
      <alignment horizontal="center" vertical="center"/>
    </xf>
    <xf numFmtId="0" fontId="2" fillId="0" borderId="22" xfId="0" applyFont="1" applyFill="1" applyBorder="1" applyAlignment="1">
      <alignment horizontal="center" vertical="center"/>
    </xf>
    <xf numFmtId="0" fontId="2" fillId="0" borderId="21" xfId="0" applyFont="1" applyFill="1" applyBorder="1" applyAlignment="1">
      <alignment horizontal="center" vertical="center"/>
    </xf>
    <xf numFmtId="0" fontId="2" fillId="0" borderId="44" xfId="0" applyFont="1" applyFill="1" applyBorder="1" applyAlignment="1">
      <alignment horizontal="center" vertical="center"/>
    </xf>
    <xf numFmtId="3" fontId="0" fillId="0" borderId="22" xfId="0" applyNumberFormat="1" applyFont="1" applyFill="1" applyBorder="1" applyAlignment="1">
      <alignment horizontal="center" vertical="center"/>
    </xf>
    <xf numFmtId="3" fontId="0" fillId="0" borderId="44" xfId="0" applyNumberFormat="1" applyFont="1" applyFill="1" applyBorder="1" applyAlignment="1">
      <alignment horizontal="center" vertical="center"/>
    </xf>
    <xf numFmtId="0" fontId="8" fillId="0" borderId="16" xfId="0" applyFont="1" applyFill="1" applyBorder="1" applyAlignment="1">
      <alignment horizontal="right" vertical="center"/>
    </xf>
    <xf numFmtId="0" fontId="2" fillId="0" borderId="16" xfId="0" applyFont="1" applyBorder="1" applyAlignment="1">
      <alignment horizontal="right" vertical="center"/>
    </xf>
    <xf numFmtId="0" fontId="2" fillId="0" borderId="2" xfId="0" applyFont="1" applyFill="1" applyBorder="1" applyAlignment="1">
      <alignment horizontal="right" vertical="center"/>
    </xf>
    <xf numFmtId="164" fontId="2" fillId="0" borderId="16" xfId="0" applyNumberFormat="1" applyFont="1" applyFill="1" applyBorder="1" applyAlignment="1">
      <alignment horizontal="right" vertical="center"/>
    </xf>
    <xf numFmtId="164" fontId="2" fillId="0" borderId="16" xfId="1" applyNumberFormat="1" applyFont="1" applyBorder="1" applyAlignment="1">
      <alignment horizontal="right" vertical="center"/>
    </xf>
    <xf numFmtId="164" fontId="2" fillId="0" borderId="16" xfId="21" applyNumberFormat="1" applyFont="1" applyFill="1" applyBorder="1" applyAlignment="1">
      <alignment horizontal="right" vertical="center"/>
    </xf>
    <xf numFmtId="3" fontId="0" fillId="0" borderId="19" xfId="0" applyNumberFormat="1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right" vertical="center"/>
    </xf>
    <xf numFmtId="0" fontId="2" fillId="0" borderId="44" xfId="0" applyFont="1" applyFill="1" applyBorder="1" applyAlignment="1">
      <alignment horizontal="center" vertical="center" wrapText="1"/>
    </xf>
    <xf numFmtId="3" fontId="0" fillId="4" borderId="19" xfId="0" applyNumberFormat="1" applyFont="1" applyFill="1" applyBorder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 wrapText="1"/>
    </xf>
    <xf numFmtId="0" fontId="3" fillId="2" borderId="8" xfId="2" applyFont="1" applyFill="1" applyBorder="1" applyAlignment="1">
      <alignment horizontal="center" vertical="center" wrapText="1"/>
    </xf>
    <xf numFmtId="0" fontId="4" fillId="2" borderId="6" xfId="4" applyFont="1" applyFill="1" applyBorder="1" applyAlignment="1">
      <alignment horizontal="center" vertical="center" wrapText="1"/>
    </xf>
    <xf numFmtId="0" fontId="4" fillId="2" borderId="7" xfId="4" applyFont="1" applyFill="1" applyBorder="1" applyAlignment="1">
      <alignment horizontal="center" vertical="center" wrapText="1"/>
    </xf>
    <xf numFmtId="0" fontId="4" fillId="3" borderId="15" xfId="6" applyFont="1" applyFill="1" applyBorder="1" applyAlignment="1">
      <alignment horizontal="center" vertical="center" wrapText="1"/>
    </xf>
    <xf numFmtId="0" fontId="4" fillId="3" borderId="14" xfId="1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4" fillId="2" borderId="2" xfId="6" applyFont="1" applyFill="1" applyBorder="1" applyAlignment="1">
      <alignment horizontal="center" vertical="center" wrapText="1"/>
    </xf>
    <xf numFmtId="0" fontId="2" fillId="8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4" fillId="2" borderId="4" xfId="6" applyFont="1" applyFill="1" applyBorder="1" applyAlignment="1">
      <alignment horizontal="center" vertical="center" wrapText="1"/>
    </xf>
    <xf numFmtId="0" fontId="4" fillId="2" borderId="5" xfId="11" applyFont="1" applyFill="1" applyBorder="1" applyAlignment="1">
      <alignment horizontal="center" vertical="center" wrapText="1"/>
    </xf>
    <xf numFmtId="0" fontId="4" fillId="2" borderId="7" xfId="5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4" fillId="2" borderId="1" xfId="2" applyFont="1" applyFill="1" applyBorder="1" applyAlignment="1">
      <alignment horizontal="center" vertical="center" wrapText="1"/>
    </xf>
    <xf numFmtId="0" fontId="14" fillId="2" borderId="30" xfId="2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13" fillId="2" borderId="1" xfId="2" applyFont="1" applyFill="1" applyBorder="1" applyAlignment="1">
      <alignment horizontal="center" vertical="center" wrapText="1"/>
    </xf>
    <xf numFmtId="0" fontId="8" fillId="8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/>
    </xf>
    <xf numFmtId="0" fontId="15" fillId="8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/>
    </xf>
    <xf numFmtId="0" fontId="14" fillId="2" borderId="2" xfId="2" applyFont="1" applyFill="1" applyBorder="1" applyAlignment="1">
      <alignment horizontal="center" vertical="center" wrapText="1"/>
    </xf>
    <xf numFmtId="0" fontId="14" fillId="2" borderId="19" xfId="2" applyFont="1" applyFill="1" applyBorder="1" applyAlignment="1">
      <alignment horizontal="center" vertical="center" wrapText="1"/>
    </xf>
    <xf numFmtId="0" fontId="4" fillId="3" borderId="2" xfId="6" applyFont="1" applyFill="1" applyBorder="1" applyAlignment="1">
      <alignment horizontal="center" vertical="center" wrapText="1"/>
    </xf>
    <xf numFmtId="0" fontId="4" fillId="3" borderId="2" xfId="11" applyFont="1" applyFill="1" applyBorder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13" fillId="2" borderId="43" xfId="2" applyFont="1" applyFill="1" applyBorder="1" applyAlignment="1">
      <alignment horizontal="center" vertical="center" wrapText="1"/>
    </xf>
    <xf numFmtId="0" fontId="13" fillId="2" borderId="8" xfId="2" applyFont="1" applyFill="1" applyBorder="1" applyAlignment="1">
      <alignment horizontal="center" vertical="center" wrapText="1"/>
    </xf>
    <xf numFmtId="0" fontId="13" fillId="2" borderId="20" xfId="2" applyFont="1" applyFill="1" applyBorder="1" applyAlignment="1">
      <alignment horizontal="center" vertical="center" wrapText="1"/>
    </xf>
    <xf numFmtId="0" fontId="4" fillId="2" borderId="10" xfId="6" applyFont="1" applyFill="1" applyBorder="1" applyAlignment="1">
      <alignment horizontal="center" vertical="center" wrapText="1"/>
    </xf>
    <xf numFmtId="0" fontId="4" fillId="2" borderId="32" xfId="6" applyFont="1" applyFill="1" applyBorder="1" applyAlignment="1">
      <alignment horizontal="center" vertical="center" wrapText="1"/>
    </xf>
    <xf numFmtId="0" fontId="4" fillId="2" borderId="29" xfId="6" applyFont="1" applyFill="1" applyBorder="1" applyAlignment="1">
      <alignment horizontal="center" vertical="center" wrapText="1"/>
    </xf>
    <xf numFmtId="0" fontId="4" fillId="2" borderId="20" xfId="6" applyFont="1" applyFill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/>
    </xf>
    <xf numFmtId="0" fontId="12" fillId="0" borderId="55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8" fillId="8" borderId="0" xfId="0" applyFont="1" applyFill="1" applyAlignment="1">
      <alignment horizontal="center" wrapText="1"/>
    </xf>
    <xf numFmtId="165" fontId="4" fillId="3" borderId="21" xfId="6" applyNumberFormat="1" applyFont="1" applyFill="1" applyBorder="1" applyAlignment="1">
      <alignment horizontal="center" vertical="center" wrapText="1"/>
    </xf>
    <xf numFmtId="165" fontId="4" fillId="3" borderId="22" xfId="6" applyNumberFormat="1" applyFont="1" applyFill="1" applyBorder="1" applyAlignment="1">
      <alignment horizontal="center" vertical="center" wrapText="1"/>
    </xf>
    <xf numFmtId="3" fontId="4" fillId="3" borderId="21" xfId="6" applyNumberFormat="1" applyFont="1" applyFill="1" applyBorder="1" applyAlignment="1">
      <alignment horizontal="center" vertical="center" wrapText="1"/>
    </xf>
    <xf numFmtId="3" fontId="4" fillId="3" borderId="22" xfId="6" applyNumberFormat="1" applyFont="1" applyFill="1" applyBorder="1" applyAlignment="1">
      <alignment horizontal="center" vertical="center" wrapText="1"/>
    </xf>
    <xf numFmtId="165" fontId="4" fillId="3" borderId="44" xfId="6" applyNumberFormat="1" applyFont="1" applyFill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8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 wrapText="1"/>
    </xf>
    <xf numFmtId="0" fontId="3" fillId="2" borderId="30" xfId="2" applyFont="1" applyFill="1" applyBorder="1" applyAlignment="1">
      <alignment horizontal="center" vertical="center" wrapText="1"/>
    </xf>
    <xf numFmtId="0" fontId="8" fillId="8" borderId="0" xfId="0" applyFont="1" applyFill="1" applyAlignment="1">
      <alignment horizontal="center" vertical="center" wrapText="1"/>
    </xf>
    <xf numFmtId="0" fontId="12" fillId="10" borderId="0" xfId="0" applyFont="1" applyFill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8" fillId="8" borderId="0" xfId="0" applyFont="1" applyFill="1" applyAlignment="1">
      <alignment horizontal="center"/>
    </xf>
    <xf numFmtId="0" fontId="13" fillId="2" borderId="60" xfId="2" applyFont="1" applyFill="1" applyBorder="1" applyAlignment="1">
      <alignment horizontal="center" vertical="center" wrapText="1"/>
    </xf>
    <xf numFmtId="0" fontId="13" fillId="2" borderId="61" xfId="2" applyFont="1" applyFill="1" applyBorder="1" applyAlignment="1">
      <alignment horizontal="center" vertical="center" wrapText="1"/>
    </xf>
    <xf numFmtId="0" fontId="6" fillId="2" borderId="43" xfId="10" applyFont="1" applyFill="1" applyBorder="1" applyAlignment="1">
      <alignment horizontal="center" vertical="center" wrapText="1"/>
    </xf>
    <xf numFmtId="0" fontId="6" fillId="2" borderId="20" xfId="10" applyFont="1" applyFill="1" applyBorder="1" applyAlignment="1">
      <alignment horizontal="center" vertical="center" wrapText="1"/>
    </xf>
    <xf numFmtId="0" fontId="5" fillId="2" borderId="43" xfId="9" applyFont="1" applyFill="1" applyBorder="1" applyAlignment="1">
      <alignment horizontal="center" vertical="center" wrapText="1"/>
    </xf>
    <xf numFmtId="0" fontId="5" fillId="2" borderId="20" xfId="9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8" fillId="10" borderId="0" xfId="0" applyFont="1" applyFill="1" applyAlignment="1">
      <alignment horizontal="center" vertical="center"/>
    </xf>
    <xf numFmtId="0" fontId="2" fillId="0" borderId="14" xfId="0" applyFont="1" applyBorder="1" applyAlignment="1">
      <alignment horizontal="left" vertical="center"/>
    </xf>
    <xf numFmtId="0" fontId="2" fillId="11" borderId="0" xfId="0" applyFont="1" applyFill="1" applyBorder="1" applyAlignment="1">
      <alignment horizontal="left" vertical="center"/>
    </xf>
    <xf numFmtId="0" fontId="2" fillId="11" borderId="14" xfId="0" applyFont="1" applyFill="1" applyBorder="1" applyAlignment="1">
      <alignment horizontal="left" vertical="center"/>
    </xf>
    <xf numFmtId="0" fontId="17" fillId="2" borderId="21" xfId="2" applyFont="1" applyFill="1" applyBorder="1" applyAlignment="1">
      <alignment horizontal="center" vertical="center" wrapText="1"/>
    </xf>
    <xf numFmtId="0" fontId="17" fillId="2" borderId="22" xfId="2" applyFont="1" applyFill="1" applyBorder="1" applyAlignment="1">
      <alignment horizontal="center" vertical="center" wrapText="1"/>
    </xf>
    <xf numFmtId="0" fontId="16" fillId="2" borderId="43" xfId="9" applyFont="1" applyFill="1" applyBorder="1" applyAlignment="1">
      <alignment horizontal="center" vertical="center" wrapText="1"/>
    </xf>
    <xf numFmtId="0" fontId="16" fillId="2" borderId="20" xfId="9" applyFont="1" applyFill="1" applyBorder="1" applyAlignment="1">
      <alignment horizontal="center" vertical="center" wrapText="1"/>
    </xf>
    <xf numFmtId="0" fontId="18" fillId="2" borderId="43" xfId="10" applyFont="1" applyFill="1" applyBorder="1" applyAlignment="1">
      <alignment horizontal="center" vertical="center" wrapText="1"/>
    </xf>
    <xf numFmtId="0" fontId="18" fillId="2" borderId="20" xfId="10" applyFont="1" applyFill="1" applyBorder="1" applyAlignment="1">
      <alignment horizontal="center" vertical="center" wrapText="1"/>
    </xf>
    <xf numFmtId="0" fontId="3" fillId="2" borderId="10" xfId="6" applyFont="1" applyFill="1" applyBorder="1" applyAlignment="1">
      <alignment horizontal="center" vertical="center" wrapText="1"/>
    </xf>
    <xf numFmtId="0" fontId="3" fillId="2" borderId="32" xfId="6" applyFont="1" applyFill="1" applyBorder="1" applyAlignment="1">
      <alignment horizontal="center" vertical="center" wrapText="1"/>
    </xf>
    <xf numFmtId="0" fontId="3" fillId="2" borderId="29" xfId="6" applyFont="1" applyFill="1" applyBorder="1" applyAlignment="1">
      <alignment horizontal="center" vertical="center" wrapText="1"/>
    </xf>
    <xf numFmtId="0" fontId="3" fillId="2" borderId="20" xfId="6" applyFont="1" applyFill="1" applyBorder="1" applyAlignment="1">
      <alignment horizontal="center" vertical="center" wrapText="1"/>
    </xf>
    <xf numFmtId="0" fontId="15" fillId="2" borderId="43" xfId="9" applyFont="1" applyFill="1" applyBorder="1" applyAlignment="1">
      <alignment horizontal="center" vertical="center" wrapText="1"/>
    </xf>
    <xf numFmtId="0" fontId="15" fillId="2" borderId="20" xfId="9" applyFont="1" applyFill="1" applyBorder="1" applyAlignment="1">
      <alignment horizontal="center" vertical="center" wrapText="1"/>
    </xf>
    <xf numFmtId="164" fontId="2" fillId="0" borderId="9" xfId="1" applyNumberFormat="1" applyFont="1" applyFill="1" applyBorder="1"/>
    <xf numFmtId="164" fontId="2" fillId="0" borderId="9" xfId="1" applyNumberFormat="1" applyFont="1" applyFill="1" applyBorder="1" applyAlignment="1">
      <alignment horizontal="center" vertical="center"/>
    </xf>
    <xf numFmtId="164" fontId="2" fillId="4" borderId="9" xfId="1" applyNumberFormat="1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64" fontId="2" fillId="0" borderId="9" xfId="21" applyNumberFormat="1" applyFont="1" applyFill="1" applyBorder="1" applyAlignment="1">
      <alignment horizontal="center" vertical="center"/>
    </xf>
    <xf numFmtId="164" fontId="2" fillId="0" borderId="27" xfId="21" applyNumberFormat="1" applyFont="1" applyFill="1" applyBorder="1" applyAlignment="1">
      <alignment horizontal="center" vertical="center"/>
    </xf>
    <xf numFmtId="164" fontId="2" fillId="0" borderId="39" xfId="21" applyNumberFormat="1" applyFont="1" applyFill="1" applyBorder="1" applyAlignment="1">
      <alignment horizontal="center" vertical="center"/>
    </xf>
    <xf numFmtId="164" fontId="2" fillId="0" borderId="55" xfId="21" applyNumberFormat="1" applyFont="1" applyFill="1" applyBorder="1" applyAlignment="1">
      <alignment horizontal="right" vertical="center"/>
    </xf>
    <xf numFmtId="164" fontId="2" fillId="0" borderId="54" xfId="1" applyNumberFormat="1" applyFont="1" applyFill="1" applyBorder="1" applyAlignment="1">
      <alignment horizontal="right" vertical="center"/>
    </xf>
    <xf numFmtId="164" fontId="2" fillId="0" borderId="0" xfId="21" applyNumberFormat="1" applyFont="1" applyFill="1" applyBorder="1" applyAlignment="1">
      <alignment horizontal="right" vertical="center"/>
    </xf>
    <xf numFmtId="0" fontId="0" fillId="6" borderId="44" xfId="0" applyFont="1" applyFill="1" applyBorder="1" applyAlignment="1">
      <alignment horizontal="center" vertical="center"/>
    </xf>
    <xf numFmtId="164" fontId="2" fillId="0" borderId="55" xfId="1" applyNumberFormat="1" applyFont="1" applyBorder="1" applyAlignment="1">
      <alignment horizontal="right" vertical="center"/>
    </xf>
    <xf numFmtId="164" fontId="2" fillId="0" borderId="18" xfId="21" applyNumberFormat="1" applyFont="1" applyFill="1" applyBorder="1" applyAlignment="1">
      <alignment horizontal="right" vertical="center"/>
    </xf>
    <xf numFmtId="164" fontId="0" fillId="13" borderId="63" xfId="1" applyNumberFormat="1" applyFont="1" applyFill="1" applyBorder="1" applyAlignment="1">
      <alignment horizontal="center" vertical="center"/>
    </xf>
    <xf numFmtId="164" fontId="0" fillId="12" borderId="63" xfId="1" applyNumberFormat="1" applyFont="1" applyFill="1" applyBorder="1" applyAlignment="1">
      <alignment horizontal="center" vertical="center"/>
    </xf>
    <xf numFmtId="0" fontId="0" fillId="13" borderId="63" xfId="0" applyFont="1" applyFill="1" applyBorder="1" applyAlignment="1">
      <alignment horizontal="center"/>
    </xf>
    <xf numFmtId="0" fontId="0" fillId="12" borderId="63" xfId="0" applyFont="1" applyFill="1" applyBorder="1" applyAlignment="1">
      <alignment horizontal="center"/>
    </xf>
    <xf numFmtId="0" fontId="0" fillId="12" borderId="62" xfId="0" applyFont="1" applyFill="1" applyBorder="1" applyAlignment="1">
      <alignment horizontal="center"/>
    </xf>
    <xf numFmtId="165" fontId="0" fillId="0" borderId="22" xfId="1" applyNumberFormat="1" applyFont="1" applyFill="1" applyBorder="1" applyAlignment="1">
      <alignment horizontal="center" vertical="center"/>
    </xf>
    <xf numFmtId="165" fontId="19" fillId="0" borderId="44" xfId="0" applyNumberFormat="1" applyFont="1" applyBorder="1" applyAlignment="1">
      <alignment horizontal="center" vertical="center"/>
    </xf>
    <xf numFmtId="165" fontId="0" fillId="0" borderId="10" xfId="0" applyNumberFormat="1" applyBorder="1"/>
    <xf numFmtId="0" fontId="0" fillId="0" borderId="64" xfId="0" applyBorder="1" applyAlignment="1">
      <alignment horizontal="center" vertical="center"/>
    </xf>
    <xf numFmtId="0" fontId="0" fillId="6" borderId="51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3" fontId="8" fillId="0" borderId="44" xfId="0" applyNumberFormat="1" applyFont="1" applyFill="1" applyBorder="1" applyAlignment="1">
      <alignment horizontal="center" vertical="center"/>
    </xf>
    <xf numFmtId="164" fontId="8" fillId="0" borderId="0" xfId="21" applyNumberFormat="1" applyFont="1" applyFill="1" applyBorder="1" applyAlignment="1">
      <alignment horizontal="right" vertical="center"/>
    </xf>
    <xf numFmtId="164" fontId="8" fillId="0" borderId="55" xfId="1" applyNumberFormat="1" applyFont="1" applyBorder="1" applyAlignment="1">
      <alignment horizontal="right" vertical="center"/>
    </xf>
    <xf numFmtId="164" fontId="2" fillId="0" borderId="45" xfId="1" applyNumberFormat="1" applyFont="1" applyFill="1" applyBorder="1" applyAlignment="1">
      <alignment horizontal="center" vertical="center"/>
    </xf>
    <xf numFmtId="164" fontId="2" fillId="4" borderId="46" xfId="1" applyNumberFormat="1" applyFont="1" applyFill="1" applyBorder="1" applyAlignment="1">
      <alignment horizontal="center" vertical="center"/>
    </xf>
    <xf numFmtId="164" fontId="2" fillId="0" borderId="53" xfId="1" applyNumberFormat="1" applyFont="1" applyFill="1" applyBorder="1" applyAlignment="1">
      <alignment horizontal="center" vertical="center"/>
    </xf>
    <xf numFmtId="164" fontId="2" fillId="4" borderId="50" xfId="1" applyNumberFormat="1" applyFont="1" applyFill="1" applyBorder="1" applyAlignment="1">
      <alignment horizontal="center" vertical="center"/>
    </xf>
    <xf numFmtId="164" fontId="2" fillId="4" borderId="51" xfId="1" applyNumberFormat="1" applyFont="1" applyFill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164" fontId="2" fillId="0" borderId="46" xfId="0" applyNumberFormat="1" applyFont="1" applyBorder="1" applyAlignment="1">
      <alignment horizontal="center" vertical="center"/>
    </xf>
    <xf numFmtId="164" fontId="2" fillId="0" borderId="45" xfId="0" applyNumberFormat="1" applyFont="1" applyBorder="1" applyAlignment="1">
      <alignment horizontal="center" vertical="center"/>
    </xf>
    <xf numFmtId="0" fontId="0" fillId="0" borderId="16" xfId="0" applyFont="1" applyFill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3" fontId="8" fillId="0" borderId="19" xfId="0" applyNumberFormat="1" applyFont="1" applyBorder="1" applyAlignment="1">
      <alignment horizontal="center" vertical="center"/>
    </xf>
    <xf numFmtId="3" fontId="8" fillId="0" borderId="2" xfId="0" applyNumberFormat="1" applyFont="1" applyBorder="1" applyAlignment="1">
      <alignment horizontal="center" vertical="center"/>
    </xf>
    <xf numFmtId="164" fontId="8" fillId="0" borderId="16" xfId="1" applyNumberFormat="1" applyFont="1" applyBorder="1" applyAlignment="1">
      <alignment horizontal="center" vertical="center"/>
    </xf>
    <xf numFmtId="164" fontId="8" fillId="0" borderId="19" xfId="0" applyNumberFormat="1" applyFont="1" applyBorder="1" applyAlignment="1">
      <alignment horizontal="center" vertical="center"/>
    </xf>
    <xf numFmtId="164" fontId="2" fillId="0" borderId="20" xfId="0" applyNumberFormat="1" applyFont="1" applyFill="1" applyBorder="1" applyAlignment="1">
      <alignment horizontal="center" vertical="center"/>
    </xf>
    <xf numFmtId="164" fontId="0" fillId="4" borderId="10" xfId="1" applyNumberFormat="1" applyFont="1" applyFill="1" applyBorder="1" applyAlignment="1">
      <alignment horizontal="center" vertical="center"/>
    </xf>
    <xf numFmtId="164" fontId="2" fillId="4" borderId="34" xfId="1" applyNumberFormat="1" applyFont="1" applyFill="1" applyBorder="1" applyAlignment="1">
      <alignment horizontal="center" vertical="center"/>
    </xf>
    <xf numFmtId="3" fontId="0" fillId="6" borderId="41" xfId="0" applyNumberFormat="1" applyFont="1" applyFill="1" applyBorder="1" applyAlignment="1">
      <alignment horizontal="center" vertical="center"/>
    </xf>
    <xf numFmtId="3" fontId="0" fillId="6" borderId="40" xfId="0" applyNumberFormat="1" applyFont="1" applyFill="1" applyBorder="1" applyAlignment="1">
      <alignment horizontal="center" vertical="center"/>
    </xf>
    <xf numFmtId="164" fontId="2" fillId="0" borderId="65" xfId="1" applyNumberFormat="1" applyFont="1" applyFill="1" applyBorder="1" applyAlignment="1">
      <alignment horizontal="center" vertical="center"/>
    </xf>
    <xf numFmtId="0" fontId="0" fillId="0" borderId="19" xfId="0" applyNumberFormat="1" applyBorder="1" applyAlignment="1">
      <alignment horizontal="center" vertical="center"/>
    </xf>
    <xf numFmtId="3" fontId="0" fillId="6" borderId="22" xfId="0" applyNumberFormat="1" applyFont="1" applyFill="1" applyBorder="1" applyAlignment="1">
      <alignment horizontal="center" vertical="center"/>
    </xf>
    <xf numFmtId="164" fontId="2" fillId="0" borderId="17" xfId="21" applyNumberFormat="1" applyFont="1" applyFill="1" applyBorder="1" applyAlignment="1">
      <alignment horizontal="right" vertical="center"/>
    </xf>
    <xf numFmtId="164" fontId="0" fillId="0" borderId="24" xfId="0" applyNumberFormat="1" applyBorder="1" applyAlignment="1">
      <alignment horizontal="center" vertical="center"/>
    </xf>
    <xf numFmtId="164" fontId="2" fillId="0" borderId="29" xfId="1" applyNumberFormat="1" applyFont="1" applyFill="1" applyBorder="1" applyAlignment="1">
      <alignment horizontal="right" vertical="center"/>
    </xf>
    <xf numFmtId="164" fontId="2" fillId="0" borderId="44" xfId="21" applyNumberFormat="1" applyFont="1" applyFill="1" applyBorder="1" applyAlignment="1">
      <alignment horizontal="right" vertical="center"/>
    </xf>
    <xf numFmtId="164" fontId="2" fillId="0" borderId="58" xfId="1" applyNumberFormat="1" applyFont="1" applyFill="1" applyBorder="1" applyAlignment="1">
      <alignment horizontal="right" vertical="center"/>
    </xf>
    <xf numFmtId="164" fontId="2" fillId="0" borderId="2" xfId="21" applyNumberFormat="1" applyFont="1" applyFill="1" applyBorder="1" applyAlignment="1">
      <alignment horizontal="right" vertical="center"/>
    </xf>
    <xf numFmtId="164" fontId="2" fillId="0" borderId="10" xfId="21" applyNumberFormat="1" applyFont="1" applyFill="1" applyBorder="1" applyAlignment="1">
      <alignment horizontal="right" vertical="center"/>
    </xf>
    <xf numFmtId="0" fontId="20" fillId="0" borderId="0" xfId="27"/>
    <xf numFmtId="0" fontId="13" fillId="2" borderId="15" xfId="2" applyFont="1" applyFill="1" applyBorder="1" applyAlignment="1">
      <alignment horizontal="center" vertical="center" wrapText="1"/>
    </xf>
    <xf numFmtId="164" fontId="2" fillId="0" borderId="9" xfId="5" applyNumberFormat="1" applyFont="1" applyFill="1" applyBorder="1" applyAlignment="1">
      <alignment horizontal="center" vertical="center"/>
    </xf>
    <xf numFmtId="164" fontId="2" fillId="0" borderId="38" xfId="0" applyNumberFormat="1" applyFont="1" applyBorder="1" applyAlignment="1">
      <alignment horizontal="center" vertical="center"/>
    </xf>
    <xf numFmtId="0" fontId="0" fillId="0" borderId="48" xfId="0" applyFont="1" applyFill="1" applyBorder="1" applyAlignment="1">
      <alignment horizontal="center" vertical="center" wrapText="1"/>
    </xf>
    <xf numFmtId="3" fontId="2" fillId="0" borderId="65" xfId="0" applyNumberFormat="1" applyFont="1" applyBorder="1" applyAlignment="1">
      <alignment horizontal="center" vertical="center"/>
    </xf>
    <xf numFmtId="3" fontId="0" fillId="0" borderId="53" xfId="0" applyNumberFormat="1" applyFont="1" applyFill="1" applyBorder="1" applyAlignment="1">
      <alignment horizontal="center" vertical="center"/>
    </xf>
    <xf numFmtId="164" fontId="2" fillId="0" borderId="53" xfId="5" applyNumberFormat="1" applyFont="1" applyFill="1" applyBorder="1" applyAlignment="1">
      <alignment horizontal="center" vertical="center"/>
    </xf>
    <xf numFmtId="164" fontId="2" fillId="0" borderId="53" xfId="21" applyNumberFormat="1" applyFont="1" applyFill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3" fontId="0" fillId="4" borderId="53" xfId="0" applyNumberFormat="1" applyFont="1" applyFill="1" applyBorder="1" applyAlignment="1">
      <alignment horizontal="center" vertical="center"/>
    </xf>
    <xf numFmtId="164" fontId="2" fillId="0" borderId="47" xfId="1" applyNumberFormat="1" applyFont="1" applyFill="1" applyBorder="1" applyAlignment="1">
      <alignment horizontal="center" vertical="center"/>
    </xf>
    <xf numFmtId="164" fontId="2" fillId="0" borderId="20" xfId="1" applyNumberFormat="1" applyFont="1" applyBorder="1" applyAlignment="1">
      <alignment horizontal="center" vertical="center"/>
    </xf>
    <xf numFmtId="0" fontId="22" fillId="14" borderId="21" xfId="0" applyFont="1" applyFill="1" applyBorder="1"/>
    <xf numFmtId="0" fontId="22" fillId="14" borderId="44" xfId="0" applyFont="1" applyFill="1" applyBorder="1"/>
    <xf numFmtId="0" fontId="22" fillId="14" borderId="22" xfId="0" applyFont="1" applyFill="1" applyBorder="1"/>
    <xf numFmtId="0" fontId="21" fillId="0" borderId="0" xfId="0" applyFont="1" applyAlignment="1">
      <alignment horizontal="center" vertical="center" wrapText="1"/>
    </xf>
    <xf numFmtId="0" fontId="12" fillId="8" borderId="0" xfId="0" applyFont="1" applyFill="1" applyAlignment="1">
      <alignment horizontal="center" vertical="center"/>
    </xf>
  </cellXfs>
  <cellStyles count="28">
    <cellStyle name="Normal" xfId="0" builtinId="0"/>
    <cellStyle name="Normal_Effect of Covid19" xfId="27"/>
    <cellStyle name="Percent" xfId="1" builtinId="5"/>
    <cellStyle name="style1626791494284" xfId="12"/>
    <cellStyle name="style1626791494672" xfId="13"/>
    <cellStyle name="style1626791494972" xfId="17"/>
    <cellStyle name="style1626791495141" xfId="18"/>
    <cellStyle name="style1626791495277" xfId="22"/>
    <cellStyle name="style1626791495391" xfId="23"/>
    <cellStyle name="style1626791495488" xfId="14"/>
    <cellStyle name="style1626791495587" xfId="15"/>
    <cellStyle name="style1626791495691" xfId="16"/>
    <cellStyle name="style1626791496091" xfId="19"/>
    <cellStyle name="style1626791496183" xfId="20"/>
    <cellStyle name="style1626791496295" xfId="21"/>
    <cellStyle name="style1626791496895" xfId="2"/>
    <cellStyle name="style1626791497014" xfId="3"/>
    <cellStyle name="style1626791497088" xfId="7"/>
    <cellStyle name="style1626791497161" xfId="8"/>
    <cellStyle name="style1626791497236" xfId="4"/>
    <cellStyle name="style1626791497329" xfId="5"/>
    <cellStyle name="style1626791497423" xfId="6"/>
    <cellStyle name="style1626791497518" xfId="11"/>
    <cellStyle name="style1626791497609" xfId="9"/>
    <cellStyle name="style1626791497711" xfId="10"/>
    <cellStyle name="style1626791497831" xfId="24"/>
    <cellStyle name="style1626791497903" xfId="25"/>
    <cellStyle name="style1626791497975" xfId="26"/>
  </cellStyles>
  <dxfs count="20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ck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ck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/>
        <top style="thick">
          <color auto="1"/>
        </top>
        <bottom style="thick">
          <color auto="1"/>
        </bottom>
        <vertical/>
        <horizontal style="thick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ck">
          <color auto="1"/>
        </top>
        <bottom style="thick">
          <color auto="1"/>
        </bottom>
        <vertical/>
        <horizontal style="thick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ck">
          <color auto="1"/>
        </top>
        <bottom style="thick">
          <color auto="1"/>
        </bottom>
        <vertical/>
        <horizontal style="thick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ck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 style="thick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 style="thick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/>
        <bottom/>
      </border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%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 style="thick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/>
        <top style="thick">
          <color auto="1"/>
        </top>
        <bottom style="thick">
          <color auto="1"/>
        </bottom>
        <vertical/>
        <horizontal style="thick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 style="thick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ck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ck">
          <color auto="1"/>
        </top>
        <bottom style="thick">
          <color auto="1"/>
        </bottom>
        <vertical/>
        <horizontal style="thick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 style="thick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 style="thick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 style="thick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 style="thick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ck">
          <color auto="1"/>
        </top>
        <bottom style="thick">
          <color auto="1"/>
        </bottom>
        <vertical/>
        <horizontal style="thick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ck">
          <color indexed="64"/>
        </right>
        <top style="thick">
          <color auto="1"/>
        </top>
        <bottom style="thick">
          <color auto="1"/>
        </bottom>
        <vertical/>
        <horizontal style="thick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numFmt numFmtId="165" formatCode="#,##0;[Red]#,##0"/>
      <alignment horizontal="center" vertical="center" textRotation="0" wrapText="0" indent="0" justifyLastLine="0" shrinkToFit="0" readingOrder="0"/>
    </dxf>
    <dxf>
      <numFmt numFmtId="165" formatCode="#,##0;[Red]#,##0"/>
      <alignment horizontal="center" vertical="center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/>
        <right style="thick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ck">
          <color indexed="64"/>
        </right>
        <top/>
        <bottom/>
      </border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alignment horizontal="center" vertical="center" textRotation="0" wrapText="0" indent="0" justifyLastLine="0" shrinkToFit="0" readingOrder="0"/>
    </dxf>
    <dxf>
      <border diagonalUp="0" diagonalDown="0">
        <left style="thick">
          <color indexed="64"/>
        </left>
        <right style="thick">
          <color indexed="64"/>
        </right>
        <top/>
        <bottom/>
        <vertical style="thick">
          <color indexed="64"/>
        </vertical>
        <horizontal style="thick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ck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ck">
          <color auto="1"/>
        </top>
        <bottom style="thick">
          <color auto="1"/>
        </bottom>
        <vertical/>
        <horizontal style="thick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ck">
          <color indexed="64"/>
        </right>
        <top style="thick">
          <color auto="1"/>
        </top>
        <bottom style="thick">
          <color auto="1"/>
        </bottom>
        <vertical/>
        <horizontal style="thick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 style="thick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 style="thick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 style="thick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 style="thick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ck">
          <color indexed="64"/>
        </right>
        <top/>
        <bottom/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ck">
          <color indexed="64"/>
        </top>
        <bottom style="thick">
          <color indexed="64"/>
        </bottom>
      </border>
    </dxf>
    <dxf>
      <alignment horizontal="center" vertical="center" textRotation="0" wrapText="0" indent="0" justifyLastLine="0" shrinkToFit="0" readingOrder="0"/>
    </dxf>
    <dxf>
      <border diagonalUp="0" diagonalDown="0">
        <left style="thick">
          <color indexed="64"/>
        </left>
        <right style="thick">
          <color indexed="64"/>
        </right>
        <top/>
        <bottom/>
        <vertical style="thick">
          <color indexed="64"/>
        </vertical>
        <horizontal style="thick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ck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 style="thick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 style="thick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 style="thick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ck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ck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%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Indicator 1.d: Percentage of members adopting climate-resilient practices in their enterprises.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2.4922118380062305E-2"/>
          <c:y val="0.10125784492021246"/>
          <c:w val="0.63910613976991193"/>
          <c:h val="0.87358492652818198"/>
        </c:manualLayout>
      </c:layout>
      <c:pie3DChart>
        <c:varyColors val="1"/>
        <c:ser>
          <c:idx val="0"/>
          <c:order val="0"/>
          <c:tx>
            <c:strRef>
              <c:f>Sheet3!$E$4</c:f>
              <c:strCache>
                <c:ptCount val="1"/>
                <c:pt idx="0">
                  <c:v>% Frequency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B488-442E-9AD4-709CDB2FED6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B488-442E-9AD4-709CDB2FED6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B488-442E-9AD4-709CDB2FED6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B488-442E-9AD4-709CDB2FED6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B488-442E-9AD4-709CDB2FED6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B488-442E-9AD4-709CDB2FED6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B488-442E-9AD4-709CDB2FED6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B488-442E-9AD4-709CDB2FED6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B488-442E-9AD4-709CDB2FED6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B488-442E-9AD4-709CDB2FED6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5-B488-442E-9AD4-709CDB2FED6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7-B488-442E-9AD4-709CDB2FED68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9-B488-442E-9AD4-709CDB2FED68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B-B488-442E-9AD4-709CDB2FED68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D-B488-442E-9AD4-709CDB2FED68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F-B488-442E-9AD4-709CDB2FED68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1-B488-442E-9AD4-709CDB2FED68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3-B488-442E-9AD4-709CDB2FED68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5-B488-442E-9AD4-709CDB2FED68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7-B488-442E-9AD4-709CDB2FED68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Sheet3!$D$5:$D$24</c:f>
              <c:strCache>
                <c:ptCount val="20"/>
                <c:pt idx="1">
                  <c:v>Minimal/zero-tillage </c:v>
                </c:pt>
                <c:pt idx="2">
                  <c:v>Inter-cropping </c:v>
                </c:pt>
                <c:pt idx="3">
                  <c:v>Crop rotation </c:v>
                </c:pt>
                <c:pt idx="4">
                  <c:v>Cover crops </c:v>
                </c:pt>
                <c:pt idx="5">
                  <c:v>Integrated pest management (IPM) i.e non-chemical use</c:v>
                </c:pt>
                <c:pt idx="6">
                  <c:v>Sustainable animal grazing </c:v>
                </c:pt>
                <c:pt idx="7">
                  <c:v>Permaculture</c:v>
                </c:pt>
                <c:pt idx="8">
                  <c:v>Agroforestry </c:v>
                </c:pt>
                <c:pt idx="9">
                  <c:v>Tree nursery</c:v>
                </c:pt>
                <c:pt idx="10">
                  <c:v>Biogas  </c:v>
                </c:pt>
                <c:pt idx="11">
                  <c:v>Drought tolerant crops  </c:v>
                </c:pt>
                <c:pt idx="12">
                  <c:v>Gunny sack garden </c:v>
                </c:pt>
                <c:pt idx="13">
                  <c:v>Composting  </c:v>
                </c:pt>
                <c:pt idx="14">
                  <c:v>Multi-storey garden </c:v>
                </c:pt>
                <c:pt idx="15">
                  <c:v>Solar </c:v>
                </c:pt>
                <c:pt idx="16">
                  <c:v>Briquette  </c:v>
                </c:pt>
                <c:pt idx="17">
                  <c:v>Organic fertilizer  </c:v>
                </c:pt>
                <c:pt idx="18">
                  <c:v>Organic pesticide  </c:v>
                </c:pt>
                <c:pt idx="19">
                  <c:v>Mandala gardens </c:v>
                </c:pt>
              </c:strCache>
            </c:strRef>
          </c:cat>
          <c:val>
            <c:numRef>
              <c:f>Sheet3!$E$5:$E$24</c:f>
              <c:numCache>
                <c:formatCode>0.0%</c:formatCode>
                <c:ptCount val="20"/>
                <c:pt idx="1">
                  <c:v>2.4E-2</c:v>
                </c:pt>
                <c:pt idx="2">
                  <c:v>0.14799999999999999</c:v>
                </c:pt>
                <c:pt idx="3">
                  <c:v>0.157</c:v>
                </c:pt>
                <c:pt idx="4">
                  <c:v>0.11600000000000001</c:v>
                </c:pt>
                <c:pt idx="5">
                  <c:v>8.0000000000000002E-3</c:v>
                </c:pt>
                <c:pt idx="6">
                  <c:v>8.9999999999999993E-3</c:v>
                </c:pt>
                <c:pt idx="7">
                  <c:v>3.0000000000000001E-3</c:v>
                </c:pt>
                <c:pt idx="8">
                  <c:v>4.5999999999999999E-2</c:v>
                </c:pt>
                <c:pt idx="9">
                  <c:v>7.9000000000000001E-2</c:v>
                </c:pt>
                <c:pt idx="10">
                  <c:v>4.0000000000000001E-3</c:v>
                </c:pt>
                <c:pt idx="11">
                  <c:v>0.115</c:v>
                </c:pt>
                <c:pt idx="12">
                  <c:v>8.3000000000000004E-2</c:v>
                </c:pt>
                <c:pt idx="13">
                  <c:v>5.2999999999999999E-2</c:v>
                </c:pt>
                <c:pt idx="14">
                  <c:v>1.2E-2</c:v>
                </c:pt>
                <c:pt idx="15">
                  <c:v>3.0000000000000001E-3</c:v>
                </c:pt>
                <c:pt idx="16">
                  <c:v>5.1999999999999998E-2</c:v>
                </c:pt>
                <c:pt idx="17">
                  <c:v>5.8999999999999997E-2</c:v>
                </c:pt>
                <c:pt idx="18">
                  <c:v>1.7000000000000001E-2</c:v>
                </c:pt>
                <c:pt idx="19">
                  <c:v>1.2999999999999999E-2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B488-442E-9AD4-709CDB2FED6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963128440720612"/>
          <c:y val="0.13291055763374146"/>
          <c:w val="0.28968780771562436"/>
          <c:h val="0.81447220745271343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Indicator 1.d: Percentage of members adopting climate-resilient practices in their enterprises.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2.4922118380062305E-2"/>
          <c:y val="0.10125784492021246"/>
          <c:w val="0.63910613976991193"/>
          <c:h val="0.87358492652818198"/>
        </c:manualLayout>
      </c:layout>
      <c:pie3DChart>
        <c:varyColors val="1"/>
        <c:ser>
          <c:idx val="0"/>
          <c:order val="0"/>
          <c:tx>
            <c:strRef>
              <c:f>Sheet3!$E$4</c:f>
              <c:strCache>
                <c:ptCount val="1"/>
                <c:pt idx="0">
                  <c:v>% Frequency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F9A0-4B9D-8E1C-CC95D1F9EF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F9A0-4B9D-8E1C-CC95D1F9EF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F9A0-4B9D-8E1C-CC95D1F9EF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F9A0-4B9D-8E1C-CC95D1F9EF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F9A0-4B9D-8E1C-CC95D1F9EFA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F9A0-4B9D-8E1C-CC95D1F9EFA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F9A0-4B9D-8E1C-CC95D1F9EFA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F9A0-4B9D-8E1C-CC95D1F9EFA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F9A0-4B9D-8E1C-CC95D1F9EFA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F9A0-4B9D-8E1C-CC95D1F9EFA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5-F9A0-4B9D-8E1C-CC95D1F9EFA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7-F9A0-4B9D-8E1C-CC95D1F9EFA4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9-F9A0-4B9D-8E1C-CC95D1F9EFA4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B-F9A0-4B9D-8E1C-CC95D1F9EFA4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D-F9A0-4B9D-8E1C-CC95D1F9EFA4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F-F9A0-4B9D-8E1C-CC95D1F9EFA4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1-F9A0-4B9D-8E1C-CC95D1F9EFA4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3-F9A0-4B9D-8E1C-CC95D1F9EFA4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5-F9A0-4B9D-8E1C-CC95D1F9EFA4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7-F9A0-4B9D-8E1C-CC95D1F9EFA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Sheet3!$D$5:$D$24</c:f>
              <c:strCache>
                <c:ptCount val="20"/>
                <c:pt idx="1">
                  <c:v>Minimal/zero-tillage </c:v>
                </c:pt>
                <c:pt idx="2">
                  <c:v>Inter-cropping </c:v>
                </c:pt>
                <c:pt idx="3">
                  <c:v>Crop rotation </c:v>
                </c:pt>
                <c:pt idx="4">
                  <c:v>Cover crops </c:v>
                </c:pt>
                <c:pt idx="5">
                  <c:v>Integrated pest management (IPM) i.e non-chemical use</c:v>
                </c:pt>
                <c:pt idx="6">
                  <c:v>Sustainable animal grazing </c:v>
                </c:pt>
                <c:pt idx="7">
                  <c:v>Permaculture</c:v>
                </c:pt>
                <c:pt idx="8">
                  <c:v>Agroforestry </c:v>
                </c:pt>
                <c:pt idx="9">
                  <c:v>Tree nursery</c:v>
                </c:pt>
                <c:pt idx="10">
                  <c:v>Biogas  </c:v>
                </c:pt>
                <c:pt idx="11">
                  <c:v>Drought tolerant crops  </c:v>
                </c:pt>
                <c:pt idx="12">
                  <c:v>Gunny sack garden </c:v>
                </c:pt>
                <c:pt idx="13">
                  <c:v>Composting  </c:v>
                </c:pt>
                <c:pt idx="14">
                  <c:v>Multi-storey garden </c:v>
                </c:pt>
                <c:pt idx="15">
                  <c:v>Solar </c:v>
                </c:pt>
                <c:pt idx="16">
                  <c:v>Briquette  </c:v>
                </c:pt>
                <c:pt idx="17">
                  <c:v>Organic fertilizer  </c:v>
                </c:pt>
                <c:pt idx="18">
                  <c:v>Organic pesticide  </c:v>
                </c:pt>
                <c:pt idx="19">
                  <c:v>Mandala gardens </c:v>
                </c:pt>
              </c:strCache>
            </c:strRef>
          </c:cat>
          <c:val>
            <c:numRef>
              <c:f>Sheet3!$E$5:$E$24</c:f>
              <c:numCache>
                <c:formatCode>0.0%</c:formatCode>
                <c:ptCount val="20"/>
                <c:pt idx="1">
                  <c:v>2.4E-2</c:v>
                </c:pt>
                <c:pt idx="2">
                  <c:v>0.14799999999999999</c:v>
                </c:pt>
                <c:pt idx="3">
                  <c:v>0.157</c:v>
                </c:pt>
                <c:pt idx="4">
                  <c:v>0.11600000000000001</c:v>
                </c:pt>
                <c:pt idx="5">
                  <c:v>8.0000000000000002E-3</c:v>
                </c:pt>
                <c:pt idx="6">
                  <c:v>8.9999999999999993E-3</c:v>
                </c:pt>
                <c:pt idx="7">
                  <c:v>3.0000000000000001E-3</c:v>
                </c:pt>
                <c:pt idx="8">
                  <c:v>4.5999999999999999E-2</c:v>
                </c:pt>
                <c:pt idx="9">
                  <c:v>7.9000000000000001E-2</c:v>
                </c:pt>
                <c:pt idx="10">
                  <c:v>4.0000000000000001E-3</c:v>
                </c:pt>
                <c:pt idx="11">
                  <c:v>0.115</c:v>
                </c:pt>
                <c:pt idx="12">
                  <c:v>8.3000000000000004E-2</c:v>
                </c:pt>
                <c:pt idx="13">
                  <c:v>5.2999999999999999E-2</c:v>
                </c:pt>
                <c:pt idx="14">
                  <c:v>1.2E-2</c:v>
                </c:pt>
                <c:pt idx="15">
                  <c:v>3.0000000000000001E-3</c:v>
                </c:pt>
                <c:pt idx="16">
                  <c:v>5.1999999999999998E-2</c:v>
                </c:pt>
                <c:pt idx="17">
                  <c:v>5.8999999999999997E-2</c:v>
                </c:pt>
                <c:pt idx="18">
                  <c:v>1.7000000000000001E-2</c:v>
                </c:pt>
                <c:pt idx="19">
                  <c:v>1.2999999999999999E-2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1D-40C9-AC84-76A197502D7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963128440720612"/>
          <c:y val="0.13291055763374146"/>
          <c:w val="0.28968780771562436"/>
          <c:h val="0.81447220745271343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66160883233375E-2"/>
          <c:y val="4.0625463189852537E-2"/>
          <c:w val="0.63980858632358617"/>
          <c:h val="0.897282410008611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'SHGs Contributions'!$J$7</c:f>
              <c:strCache>
                <c:ptCount val="1"/>
                <c:pt idx="0">
                  <c:v>JIKAZE KAKUNIKE SELF HELP GROUP.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'SHGs Contributions'!$K$4:$K$6</c:f>
              <c:strCache>
                <c:ptCount val="1"/>
                <c:pt idx="0">
                  <c:v>Amount  (Ksh.)                                                              </c:v>
                </c:pt>
              </c:strCache>
            </c:strRef>
          </c:cat>
          <c:val>
            <c:numRef>
              <c:f>'SHGs Contributions'!$K$7</c:f>
              <c:numCache>
                <c:formatCode>#,##0;[Red]#,##0</c:formatCode>
                <c:ptCount val="1"/>
                <c:pt idx="0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A8-43E8-84F5-0D5F269855D7}"/>
            </c:ext>
          </c:extLst>
        </c:ser>
        <c:ser>
          <c:idx val="1"/>
          <c:order val="1"/>
          <c:tx>
            <c:strRef>
              <c:f>'SHGs Contributions'!$J$8</c:f>
              <c:strCache>
                <c:ptCount val="1"/>
                <c:pt idx="0">
                  <c:v>Umiisyo Wa Aka Itangini Women group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cat>
            <c:strRef>
              <c:f>'SHGs Contributions'!$K$4:$K$6</c:f>
              <c:strCache>
                <c:ptCount val="1"/>
                <c:pt idx="0">
                  <c:v>Amount  (Ksh.)                                                              </c:v>
                </c:pt>
              </c:strCache>
            </c:strRef>
          </c:cat>
          <c:val>
            <c:numRef>
              <c:f>'SHGs Contributions'!$K$8</c:f>
              <c:numCache>
                <c:formatCode>#,##0;[Red]#,##0</c:formatCode>
                <c:ptCount val="1"/>
                <c:pt idx="0">
                  <c:v>10750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A8-43E8-84F5-0D5F269855D7}"/>
            </c:ext>
          </c:extLst>
        </c:ser>
        <c:ser>
          <c:idx val="2"/>
          <c:order val="2"/>
          <c:tx>
            <c:strRef>
              <c:f>'SHGs Contributions'!$J$9</c:f>
              <c:strCache>
                <c:ptCount val="1"/>
                <c:pt idx="0">
                  <c:v>Samakikakwa farmers field school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'SHGs Contributions'!$K$4:$K$6</c:f>
              <c:strCache>
                <c:ptCount val="1"/>
                <c:pt idx="0">
                  <c:v>Amount  (Ksh.)                                                              </c:v>
                </c:pt>
              </c:strCache>
            </c:strRef>
          </c:cat>
          <c:val>
            <c:numRef>
              <c:f>'SHGs Contributions'!$K$9</c:f>
              <c:numCache>
                <c:formatCode>#,##0;[Red]#,##0</c:formatCode>
                <c:ptCount val="1"/>
                <c:pt idx="0">
                  <c:v>9250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A8-43E8-84F5-0D5F269855D7}"/>
            </c:ext>
          </c:extLst>
        </c:ser>
        <c:ser>
          <c:idx val="3"/>
          <c:order val="3"/>
          <c:tx>
            <c:strRef>
              <c:f>'SHGs Contributions'!$J$10</c:f>
              <c:strCache>
                <c:ptCount val="1"/>
                <c:pt idx="0">
                  <c:v>KANINI KASEO MWAANI WOMEN GROUP.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'SHGs Contributions'!$K$4:$K$6</c:f>
              <c:strCache>
                <c:ptCount val="1"/>
                <c:pt idx="0">
                  <c:v>Amount  (Ksh.)                                                              </c:v>
                </c:pt>
              </c:strCache>
            </c:strRef>
          </c:cat>
          <c:val>
            <c:numRef>
              <c:f>'SHGs Contributions'!$K$10</c:f>
              <c:numCache>
                <c:formatCode>#,##0;[Red]#,##0</c:formatCode>
                <c:ptCount val="1"/>
                <c:pt idx="0">
                  <c:v>8950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BA8-43E8-84F5-0D5F269855D7}"/>
            </c:ext>
          </c:extLst>
        </c:ser>
        <c:ser>
          <c:idx val="4"/>
          <c:order val="4"/>
          <c:tx>
            <c:strRef>
              <c:f>'SHGs Contributions'!$J$11</c:f>
              <c:strCache>
                <c:ptCount val="1"/>
                <c:pt idx="0">
                  <c:v>Wendo wa ndovoini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'SHGs Contributions'!$K$4:$K$6</c:f>
              <c:strCache>
                <c:ptCount val="1"/>
                <c:pt idx="0">
                  <c:v>Amount  (Ksh.)                                                              </c:v>
                </c:pt>
              </c:strCache>
            </c:strRef>
          </c:cat>
          <c:val>
            <c:numRef>
              <c:f>'SHGs Contributions'!$K$11</c:f>
              <c:numCache>
                <c:formatCode>#,##0;[Red]#,##0</c:formatCode>
                <c:ptCount val="1"/>
                <c:pt idx="0">
                  <c:v>8800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BA8-43E8-84F5-0D5F269855D7}"/>
            </c:ext>
          </c:extLst>
        </c:ser>
        <c:ser>
          <c:idx val="5"/>
          <c:order val="5"/>
          <c:tx>
            <c:strRef>
              <c:f>'SHGs Contributions'!$J$12</c:f>
              <c:strCache>
                <c:ptCount val="1"/>
                <c:pt idx="0">
                  <c:v>KWA VONZA COCOWU SELF HELP GROUP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'SHGs Contributions'!$K$4:$K$6</c:f>
              <c:strCache>
                <c:ptCount val="1"/>
                <c:pt idx="0">
                  <c:v>Amount  (Ksh.)                                                              </c:v>
                </c:pt>
              </c:strCache>
            </c:strRef>
          </c:cat>
          <c:val>
            <c:numRef>
              <c:f>'SHGs Contributions'!$K$12</c:f>
              <c:numCache>
                <c:formatCode>#,##0;[Red]#,##0</c:formatCode>
                <c:ptCount val="1"/>
                <c:pt idx="0">
                  <c:v>8400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BA8-43E8-84F5-0D5F269855D7}"/>
            </c:ext>
          </c:extLst>
        </c:ser>
        <c:ser>
          <c:idx val="6"/>
          <c:order val="6"/>
          <c:tx>
            <c:strRef>
              <c:f>'SHGs Contributions'!$J$13</c:f>
              <c:strCache>
                <c:ptCount val="1"/>
                <c:pt idx="0">
                  <c:v>UPENDO SELF HELP GROUP.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'SHGs Contributions'!$K$4:$K$6</c:f>
              <c:strCache>
                <c:ptCount val="1"/>
                <c:pt idx="0">
                  <c:v>Amount  (Ksh.)                                                              </c:v>
                </c:pt>
              </c:strCache>
            </c:strRef>
          </c:cat>
          <c:val>
            <c:numRef>
              <c:f>'SHGs Contributions'!$K$13</c:f>
              <c:numCache>
                <c:formatCode>#,##0;[Red]#,##0</c:formatCode>
                <c:ptCount val="1"/>
                <c:pt idx="0">
                  <c:v>8070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BA8-43E8-84F5-0D5F269855D7}"/>
            </c:ext>
          </c:extLst>
        </c:ser>
        <c:ser>
          <c:idx val="7"/>
          <c:order val="7"/>
          <c:tx>
            <c:strRef>
              <c:f>'SHGs Contributions'!$J$14</c:f>
              <c:strCache>
                <c:ptCount val="1"/>
                <c:pt idx="0">
                  <c:v>Nguma SHG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'SHGs Contributions'!$K$4:$K$6</c:f>
              <c:strCache>
                <c:ptCount val="1"/>
                <c:pt idx="0">
                  <c:v>Amount  (Ksh.)                                                              </c:v>
                </c:pt>
              </c:strCache>
            </c:strRef>
          </c:cat>
          <c:val>
            <c:numRef>
              <c:f>'SHGs Contributions'!$K$14</c:f>
              <c:numCache>
                <c:formatCode>#,##0;[Red]#,##0</c:formatCode>
                <c:ptCount val="1"/>
                <c:pt idx="0">
                  <c:v>7050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BA8-43E8-84F5-0D5F269855D7}"/>
            </c:ext>
          </c:extLst>
        </c:ser>
        <c:ser>
          <c:idx val="8"/>
          <c:order val="8"/>
          <c:tx>
            <c:strRef>
              <c:f>'SHGs Contributions'!$J$15</c:f>
              <c:strCache>
                <c:ptCount val="1"/>
                <c:pt idx="0">
                  <c:v>Kaliku SGH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'SHGs Contributions'!$K$4:$K$6</c:f>
              <c:strCache>
                <c:ptCount val="1"/>
                <c:pt idx="0">
                  <c:v>Amount  (Ksh.)                                                              </c:v>
                </c:pt>
              </c:strCache>
            </c:strRef>
          </c:cat>
          <c:val>
            <c:numRef>
              <c:f>'SHGs Contributions'!$K$15</c:f>
              <c:numCache>
                <c:formatCode>#,##0;[Red]#,##0</c:formatCode>
                <c:ptCount val="1"/>
                <c:pt idx="0">
                  <c:v>6900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BA8-43E8-84F5-0D5F269855D7}"/>
            </c:ext>
          </c:extLst>
        </c:ser>
        <c:ser>
          <c:idx val="9"/>
          <c:order val="9"/>
          <c:tx>
            <c:strRef>
              <c:f>'SHGs Contributions'!$J$16</c:f>
              <c:strCache>
                <c:ptCount val="1"/>
                <c:pt idx="0">
                  <c:v>Kwa Vonza Kavovoango SHG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strRef>
              <c:f>'SHGs Contributions'!$K$4:$K$6</c:f>
              <c:strCache>
                <c:ptCount val="1"/>
                <c:pt idx="0">
                  <c:v>Amount  (Ksh.)                                                              </c:v>
                </c:pt>
              </c:strCache>
            </c:strRef>
          </c:cat>
          <c:val>
            <c:numRef>
              <c:f>'SHGs Contributions'!$K$16</c:f>
              <c:numCache>
                <c:formatCode>#,##0;[Red]#,##0</c:formatCode>
                <c:ptCount val="1"/>
                <c:pt idx="0">
                  <c:v>6700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BA8-43E8-84F5-0D5F269855D7}"/>
            </c:ext>
          </c:extLst>
        </c:ser>
        <c:ser>
          <c:idx val="10"/>
          <c:order val="10"/>
          <c:tx>
            <c:strRef>
              <c:f>'SHGs Contributions'!$J$17</c:f>
              <c:strCache>
                <c:ptCount val="1"/>
                <c:pt idx="0">
                  <c:v>Wikwatyo Wa Mui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'SHGs Contributions'!$K$4:$K$6</c:f>
              <c:strCache>
                <c:ptCount val="1"/>
                <c:pt idx="0">
                  <c:v>Amount  (Ksh.)                                                              </c:v>
                </c:pt>
              </c:strCache>
            </c:strRef>
          </c:cat>
          <c:val>
            <c:numRef>
              <c:f>'SHGs Contributions'!$K$17</c:f>
              <c:numCache>
                <c:formatCode>#,##0;[Red]#,##0</c:formatCode>
                <c:ptCount val="1"/>
                <c:pt idx="0">
                  <c:v>5800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BA8-43E8-84F5-0D5F269855D7}"/>
            </c:ext>
          </c:extLst>
        </c:ser>
        <c:ser>
          <c:idx val="11"/>
          <c:order val="11"/>
          <c:tx>
            <c:strRef>
              <c:f>'SHGs Contributions'!$J$18</c:f>
              <c:strCache>
                <c:ptCount val="1"/>
                <c:pt idx="0">
                  <c:v>Makutano Kakunike SHG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'SHGs Contributions'!$K$4:$K$6</c:f>
              <c:strCache>
                <c:ptCount val="1"/>
                <c:pt idx="0">
                  <c:v>Amount  (Ksh.)                                                              </c:v>
                </c:pt>
              </c:strCache>
            </c:strRef>
          </c:cat>
          <c:val>
            <c:numRef>
              <c:f>'SHGs Contributions'!$K$18</c:f>
              <c:numCache>
                <c:formatCode>#,##0;[Red]#,##0</c:formatCode>
                <c:ptCount val="1"/>
                <c:pt idx="0">
                  <c:v>5700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BA8-43E8-84F5-0D5F269855D7}"/>
            </c:ext>
          </c:extLst>
        </c:ser>
        <c:ser>
          <c:idx val="12"/>
          <c:order val="12"/>
          <c:tx>
            <c:strRef>
              <c:f>'SHGs Contributions'!$J$19</c:f>
              <c:strCache>
                <c:ptCount val="1"/>
                <c:pt idx="0">
                  <c:v>Ona mbee SHG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'SHGs Contributions'!$K$4:$K$6</c:f>
              <c:strCache>
                <c:ptCount val="1"/>
                <c:pt idx="0">
                  <c:v>Amount  (Ksh.)                                                              </c:v>
                </c:pt>
              </c:strCache>
            </c:strRef>
          </c:cat>
          <c:val>
            <c:numRef>
              <c:f>'SHGs Contributions'!$K$19</c:f>
              <c:numCache>
                <c:formatCode>#,##0;[Red]#,##0</c:formatCode>
                <c:ptCount val="1"/>
                <c:pt idx="0">
                  <c:v>4800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BA8-43E8-84F5-0D5F269855D7}"/>
            </c:ext>
          </c:extLst>
        </c:ser>
        <c:ser>
          <c:idx val="13"/>
          <c:order val="13"/>
          <c:tx>
            <c:strRef>
              <c:f>'SHGs Contributions'!$J$20</c:f>
              <c:strCache>
                <c:ptCount val="1"/>
                <c:pt idx="0">
                  <c:v>Mwangaza digital SHG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'SHGs Contributions'!$K$4:$K$6</c:f>
              <c:strCache>
                <c:ptCount val="1"/>
                <c:pt idx="0">
                  <c:v>Amount  (Ksh.)                                                              </c:v>
                </c:pt>
              </c:strCache>
            </c:strRef>
          </c:cat>
          <c:val>
            <c:numRef>
              <c:f>'SHGs Contributions'!$K$20</c:f>
              <c:numCache>
                <c:formatCode>#,##0;[Red]#,##0</c:formatCode>
                <c:ptCount val="1"/>
                <c:pt idx="0">
                  <c:v>4473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BA8-43E8-84F5-0D5F269855D7}"/>
            </c:ext>
          </c:extLst>
        </c:ser>
        <c:ser>
          <c:idx val="14"/>
          <c:order val="14"/>
          <c:tx>
            <c:strRef>
              <c:f>'SHGs Contributions'!$J$21</c:f>
              <c:strCache>
                <c:ptCount val="1"/>
                <c:pt idx="0">
                  <c:v>Tengemeo SHG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'SHGs Contributions'!$K$4:$K$6</c:f>
              <c:strCache>
                <c:ptCount val="1"/>
                <c:pt idx="0">
                  <c:v>Amount  (Ksh.)                                                              </c:v>
                </c:pt>
              </c:strCache>
            </c:strRef>
          </c:cat>
          <c:val>
            <c:numRef>
              <c:f>'SHGs Contributions'!$K$21</c:f>
              <c:numCache>
                <c:formatCode>#,##0;[Red]#,##0</c:formatCode>
                <c:ptCount val="1"/>
                <c:pt idx="0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BA8-43E8-84F5-0D5F269855D7}"/>
            </c:ext>
          </c:extLst>
        </c:ser>
        <c:ser>
          <c:idx val="15"/>
          <c:order val="15"/>
          <c:tx>
            <c:strRef>
              <c:f>'SHGs Contributions'!$J$22</c:f>
              <c:strCache>
                <c:ptCount val="1"/>
                <c:pt idx="0">
                  <c:v>Woni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'SHGs Contributions'!$K$4:$K$6</c:f>
              <c:strCache>
                <c:ptCount val="1"/>
                <c:pt idx="0">
                  <c:v>Amount  (Ksh.)                                                              </c:v>
                </c:pt>
              </c:strCache>
            </c:strRef>
          </c:cat>
          <c:val>
            <c:numRef>
              <c:f>'SHGs Contributions'!$K$22</c:f>
              <c:numCache>
                <c:formatCode>#,##0;[Red]#,##0</c:formatCode>
                <c:ptCount val="1"/>
                <c:pt idx="0">
                  <c:v>3800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4BA8-43E8-84F5-0D5F269855D7}"/>
            </c:ext>
          </c:extLst>
        </c:ser>
        <c:ser>
          <c:idx val="16"/>
          <c:order val="16"/>
          <c:tx>
            <c:strRef>
              <c:f>'SHGs Contributions'!$J$23</c:f>
              <c:strCache>
                <c:ptCount val="1"/>
                <c:pt idx="0">
                  <c:v>Tisuka self help group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'SHGs Contributions'!$K$4:$K$6</c:f>
              <c:strCache>
                <c:ptCount val="1"/>
                <c:pt idx="0">
                  <c:v>Amount  (Ksh.)                                                              </c:v>
                </c:pt>
              </c:strCache>
            </c:strRef>
          </c:cat>
          <c:val>
            <c:numRef>
              <c:f>'SHGs Contributions'!$K$23</c:f>
              <c:numCache>
                <c:formatCode>#,##0;[Red]#,##0</c:formatCode>
                <c:ptCount val="1"/>
                <c:pt idx="0">
                  <c:v>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4BA8-43E8-84F5-0D5F269855D7}"/>
            </c:ext>
          </c:extLst>
        </c:ser>
        <c:ser>
          <c:idx val="17"/>
          <c:order val="17"/>
          <c:tx>
            <c:strRef>
              <c:f>'SHGs Contributions'!$J$24</c:f>
              <c:strCache>
                <c:ptCount val="1"/>
                <c:pt idx="0">
                  <c:v>WENDO  WA NTHAILANI WOMEN GROUP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'SHGs Contributions'!$K$4:$K$6</c:f>
              <c:strCache>
                <c:ptCount val="1"/>
                <c:pt idx="0">
                  <c:v>Amount  (Ksh.)                                                              </c:v>
                </c:pt>
              </c:strCache>
            </c:strRef>
          </c:cat>
          <c:val>
            <c:numRef>
              <c:f>'SHGs Contributions'!$K$24</c:f>
              <c:numCache>
                <c:formatCode>#,##0;[Red]#,##0</c:formatCode>
                <c:ptCount val="1"/>
                <c:pt idx="0">
                  <c:v>3300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4BA8-43E8-84F5-0D5F269855D7}"/>
            </c:ext>
          </c:extLst>
        </c:ser>
        <c:ser>
          <c:idx val="18"/>
          <c:order val="18"/>
          <c:tx>
            <c:strRef>
              <c:f>'SHGs Contributions'!$J$25</c:f>
              <c:strCache>
                <c:ptCount val="1"/>
                <c:pt idx="0">
                  <c:v>KYAMUUNGI BASIC ADULT CLASS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'SHGs Contributions'!$K$4:$K$6</c:f>
              <c:strCache>
                <c:ptCount val="1"/>
                <c:pt idx="0">
                  <c:v>Amount  (Ksh.)                                                              </c:v>
                </c:pt>
              </c:strCache>
            </c:strRef>
          </c:cat>
          <c:val>
            <c:numRef>
              <c:f>'SHGs Contributions'!$K$25</c:f>
              <c:numCache>
                <c:formatCode>#,##0;[Red]#,##0</c:formatCode>
                <c:ptCount val="1"/>
                <c:pt idx="0">
                  <c:v>3250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4BA8-43E8-84F5-0D5F269855D7}"/>
            </c:ext>
          </c:extLst>
        </c:ser>
        <c:ser>
          <c:idx val="19"/>
          <c:order val="19"/>
          <c:tx>
            <c:strRef>
              <c:f>'SHGs Contributions'!$J$26</c:f>
              <c:strCache>
                <c:ptCount val="1"/>
                <c:pt idx="0">
                  <c:v>Tusyoke Muundani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'SHGs Contributions'!$K$4:$K$6</c:f>
              <c:strCache>
                <c:ptCount val="1"/>
                <c:pt idx="0">
                  <c:v>Amount  (Ksh.)                                                              </c:v>
                </c:pt>
              </c:strCache>
            </c:strRef>
          </c:cat>
          <c:val>
            <c:numRef>
              <c:f>'SHGs Contributions'!$K$26</c:f>
              <c:numCache>
                <c:formatCode>#,##0;[Red]#,##0</c:formatCode>
                <c:ptCount val="1"/>
                <c:pt idx="0">
                  <c:v>3226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4BA8-43E8-84F5-0D5F269855D7}"/>
            </c:ext>
          </c:extLst>
        </c:ser>
        <c:ser>
          <c:idx val="20"/>
          <c:order val="20"/>
          <c:tx>
            <c:strRef>
              <c:f>'SHGs Contributions'!$J$27</c:f>
              <c:strCache>
                <c:ptCount val="1"/>
                <c:pt idx="0">
                  <c:v>WENDANO JUA KALI SHG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'SHGs Contributions'!$K$4:$K$6</c:f>
              <c:strCache>
                <c:ptCount val="1"/>
                <c:pt idx="0">
                  <c:v>Amount  (Ksh.)                                                              </c:v>
                </c:pt>
              </c:strCache>
            </c:strRef>
          </c:cat>
          <c:val>
            <c:numRef>
              <c:f>'SHGs Contributions'!$K$27</c:f>
              <c:numCache>
                <c:formatCode>#,##0;[Red]#,##0</c:formatCode>
                <c:ptCount val="1"/>
                <c:pt idx="0">
                  <c:v>3050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4BA8-43E8-84F5-0D5F269855D7}"/>
            </c:ext>
          </c:extLst>
        </c:ser>
        <c:ser>
          <c:idx val="21"/>
          <c:order val="21"/>
          <c:tx>
            <c:strRef>
              <c:f>'SHGs Contributions'!$J$28</c:f>
              <c:strCache>
                <c:ptCount val="1"/>
                <c:pt idx="0">
                  <c:v>Neema Ya Kina Mama SHG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'SHGs Contributions'!$K$4:$K$6</c:f>
              <c:strCache>
                <c:ptCount val="1"/>
                <c:pt idx="0">
                  <c:v>Amount  (Ksh.)                                                              </c:v>
                </c:pt>
              </c:strCache>
            </c:strRef>
          </c:cat>
          <c:val>
            <c:numRef>
              <c:f>'SHGs Contributions'!$K$28</c:f>
              <c:numCache>
                <c:formatCode>#,##0;[Red]#,##0</c:formatCode>
                <c:ptCount val="1"/>
                <c:pt idx="0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4BA8-43E8-84F5-0D5F269855D7}"/>
            </c:ext>
          </c:extLst>
        </c:ser>
        <c:ser>
          <c:idx val="22"/>
          <c:order val="22"/>
          <c:tx>
            <c:strRef>
              <c:f>'SHGs Contributions'!$J$29</c:f>
              <c:strCache>
                <c:ptCount val="1"/>
                <c:pt idx="0">
                  <c:v>WENDO WA KONZA CBO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'SHGs Contributions'!$K$4:$K$6</c:f>
              <c:strCache>
                <c:ptCount val="1"/>
                <c:pt idx="0">
                  <c:v>Amount  (Ksh.)                                                              </c:v>
                </c:pt>
              </c:strCache>
            </c:strRef>
          </c:cat>
          <c:val>
            <c:numRef>
              <c:f>'SHGs Contributions'!$K$29</c:f>
              <c:numCache>
                <c:formatCode>#,##0;[Red]#,##0</c:formatCode>
                <c:ptCount val="1"/>
                <c:pt idx="0">
                  <c:v>2900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4BA8-43E8-84F5-0D5F269855D7}"/>
            </c:ext>
          </c:extLst>
        </c:ser>
        <c:ser>
          <c:idx val="23"/>
          <c:order val="23"/>
          <c:tx>
            <c:strRef>
              <c:f>'SHGs Contributions'!$J$30</c:f>
              <c:strCache>
                <c:ptCount val="1"/>
                <c:pt idx="0">
                  <c:v>Mwangaza SHG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'SHGs Contributions'!$K$4:$K$6</c:f>
              <c:strCache>
                <c:ptCount val="1"/>
                <c:pt idx="0">
                  <c:v>Amount  (Ksh.)                                                              </c:v>
                </c:pt>
              </c:strCache>
            </c:strRef>
          </c:cat>
          <c:val>
            <c:numRef>
              <c:f>'SHGs Contributions'!$K$30</c:f>
              <c:numCache>
                <c:formatCode>#,##0;[Red]#,##0</c:formatCode>
                <c:ptCount val="1"/>
                <c:pt idx="0">
                  <c:v>2800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4BA8-43E8-84F5-0D5F269855D7}"/>
            </c:ext>
          </c:extLst>
        </c:ser>
        <c:ser>
          <c:idx val="24"/>
          <c:order val="24"/>
          <c:tx>
            <c:strRef>
              <c:f>'SHGs Contributions'!$J$31</c:f>
              <c:strCache>
                <c:ptCount val="1"/>
                <c:pt idx="0">
                  <c:v>Tiva River Environmental YG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'SHGs Contributions'!$K$4:$K$6</c:f>
              <c:strCache>
                <c:ptCount val="1"/>
                <c:pt idx="0">
                  <c:v>Amount  (Ksh.)                                                              </c:v>
                </c:pt>
              </c:strCache>
            </c:strRef>
          </c:cat>
          <c:val>
            <c:numRef>
              <c:f>'SHGs Contributions'!$K$31</c:f>
              <c:numCache>
                <c:formatCode>#,##0;[Red]#,##0</c:formatCode>
                <c:ptCount val="1"/>
                <c:pt idx="0">
                  <c:v>2450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BA8-43E8-84F5-0D5F269855D7}"/>
            </c:ext>
          </c:extLst>
        </c:ser>
        <c:ser>
          <c:idx val="25"/>
          <c:order val="25"/>
          <c:tx>
            <c:strRef>
              <c:f>'SHGs Contributions'!$J$32</c:f>
              <c:strCache>
                <c:ptCount val="1"/>
                <c:pt idx="0">
                  <c:v>Wendo wa Nthunthini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'SHGs Contributions'!$K$4:$K$6</c:f>
              <c:strCache>
                <c:ptCount val="1"/>
                <c:pt idx="0">
                  <c:v>Amount  (Ksh.)                                                              </c:v>
                </c:pt>
              </c:strCache>
            </c:strRef>
          </c:cat>
          <c:val>
            <c:numRef>
              <c:f>'SHGs Contributions'!$K$32</c:f>
              <c:numCache>
                <c:formatCode>#,##0;[Red]#,##0</c:formatCode>
                <c:ptCount val="1"/>
                <c:pt idx="0">
                  <c:v>2218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4BA8-43E8-84F5-0D5F269855D7}"/>
            </c:ext>
          </c:extLst>
        </c:ser>
        <c:ser>
          <c:idx val="26"/>
          <c:order val="26"/>
          <c:tx>
            <c:strRef>
              <c:f>'SHGs Contributions'!$J$33</c:f>
              <c:strCache>
                <c:ptCount val="1"/>
                <c:pt idx="0">
                  <c:v>Kwa Mumo Adult Class SHG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'SHGs Contributions'!$K$4:$K$6</c:f>
              <c:strCache>
                <c:ptCount val="1"/>
                <c:pt idx="0">
                  <c:v>Amount  (Ksh.)                                                              </c:v>
                </c:pt>
              </c:strCache>
            </c:strRef>
          </c:cat>
          <c:val>
            <c:numRef>
              <c:f>'SHGs Contributions'!$K$33</c:f>
              <c:numCache>
                <c:formatCode>#,##0;[Red]#,##0</c:formatCode>
                <c:ptCount val="1"/>
                <c:pt idx="0">
                  <c:v>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4BA8-43E8-84F5-0D5F269855D7}"/>
            </c:ext>
          </c:extLst>
        </c:ser>
        <c:ser>
          <c:idx val="27"/>
          <c:order val="27"/>
          <c:tx>
            <c:strRef>
              <c:f>'SHGs Contributions'!$J$34</c:f>
              <c:strCache>
                <c:ptCount val="1"/>
                <c:pt idx="0">
                  <c:v>Ngwatano SHG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'SHGs Contributions'!$K$4:$K$6</c:f>
              <c:strCache>
                <c:ptCount val="1"/>
                <c:pt idx="0">
                  <c:v>Amount  (Ksh.)                                                              </c:v>
                </c:pt>
              </c:strCache>
            </c:strRef>
          </c:cat>
          <c:val>
            <c:numRef>
              <c:f>'SHGs Contributions'!$K$34</c:f>
              <c:numCache>
                <c:formatCode>#,##0;[Red]#,##0</c:formatCode>
                <c:ptCount val="1"/>
                <c:pt idx="0">
                  <c:v>1900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4BA8-43E8-84F5-0D5F269855D7}"/>
            </c:ext>
          </c:extLst>
        </c:ser>
        <c:ser>
          <c:idx val="28"/>
          <c:order val="28"/>
          <c:tx>
            <c:strRef>
              <c:f>'SHGs Contributions'!$J$35</c:f>
              <c:strCache>
                <c:ptCount val="1"/>
                <c:pt idx="0">
                  <c:v>Kwiyumya group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'SHGs Contributions'!$K$4:$K$6</c:f>
              <c:strCache>
                <c:ptCount val="1"/>
                <c:pt idx="0">
                  <c:v>Amount  (Ksh.)                                                              </c:v>
                </c:pt>
              </c:strCache>
            </c:strRef>
          </c:cat>
          <c:val>
            <c:numRef>
              <c:f>'SHGs Contributions'!$K$35</c:f>
              <c:numCache>
                <c:formatCode>#,##0;[Red]#,##0</c:formatCode>
                <c:ptCount val="1"/>
                <c:pt idx="0">
                  <c:v>1750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4BA8-43E8-84F5-0D5F269855D7}"/>
            </c:ext>
          </c:extLst>
        </c:ser>
        <c:ser>
          <c:idx val="29"/>
          <c:order val="29"/>
          <c:tx>
            <c:strRef>
              <c:f>'SHGs Contributions'!$J$36</c:f>
              <c:strCache>
                <c:ptCount val="1"/>
                <c:pt idx="0">
                  <c:v>Kwanyingi women group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'SHGs Contributions'!$K$4:$K$6</c:f>
              <c:strCache>
                <c:ptCount val="1"/>
                <c:pt idx="0">
                  <c:v>Amount  (Ksh.)                                                              </c:v>
                </c:pt>
              </c:strCache>
            </c:strRef>
          </c:cat>
          <c:val>
            <c:numRef>
              <c:f>'SHGs Contributions'!$K$36</c:f>
              <c:numCache>
                <c:formatCode>#,##0;[Red]#,##0</c:formatCode>
                <c:ptCount val="1"/>
                <c:pt idx="0">
                  <c:v>1730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4BA8-43E8-84F5-0D5F269855D7}"/>
            </c:ext>
          </c:extLst>
        </c:ser>
        <c:ser>
          <c:idx val="30"/>
          <c:order val="30"/>
          <c:tx>
            <c:strRef>
              <c:f>'SHGs Contributions'!$J$37</c:f>
              <c:strCache>
                <c:ptCount val="1"/>
                <c:pt idx="0">
                  <c:v>Mwende women SHG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'SHGs Contributions'!$K$4:$K$6</c:f>
              <c:strCache>
                <c:ptCount val="1"/>
                <c:pt idx="0">
                  <c:v>Amount  (Ksh.)                                                              </c:v>
                </c:pt>
              </c:strCache>
            </c:strRef>
          </c:cat>
          <c:val>
            <c:numRef>
              <c:f>'SHGs Contributions'!$K$37</c:f>
              <c:numCache>
                <c:formatCode>#,##0;[Red]#,##0</c:formatCode>
                <c:ptCount val="1"/>
                <c:pt idx="0">
                  <c:v>1700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4BA8-43E8-84F5-0D5F269855D7}"/>
            </c:ext>
          </c:extLst>
        </c:ser>
        <c:ser>
          <c:idx val="31"/>
          <c:order val="31"/>
          <c:tx>
            <c:strRef>
              <c:f>'SHGs Contributions'!$J$38</c:f>
              <c:strCache>
                <c:ptCount val="1"/>
                <c:pt idx="0">
                  <c:v>Kubamba youth group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'SHGs Contributions'!$K$4:$K$6</c:f>
              <c:strCache>
                <c:ptCount val="1"/>
                <c:pt idx="0">
                  <c:v>Amount  (Ksh.)                                                              </c:v>
                </c:pt>
              </c:strCache>
            </c:strRef>
          </c:cat>
          <c:val>
            <c:numRef>
              <c:f>'SHGs Contributions'!$K$38</c:f>
              <c:numCache>
                <c:formatCode>#,##0;[Red]#,##0</c:formatCode>
                <c:ptCount val="1"/>
                <c:pt idx="0">
                  <c:v>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4BA8-43E8-84F5-0D5F269855D7}"/>
            </c:ext>
          </c:extLst>
        </c:ser>
        <c:ser>
          <c:idx val="32"/>
          <c:order val="32"/>
          <c:tx>
            <c:strRef>
              <c:f>'SHGs Contributions'!$J$39</c:f>
              <c:strCache>
                <c:ptCount val="1"/>
                <c:pt idx="0">
                  <c:v>Masinga women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'SHGs Contributions'!$K$4:$K$6</c:f>
              <c:strCache>
                <c:ptCount val="1"/>
                <c:pt idx="0">
                  <c:v>Amount  (Ksh.)                                                              </c:v>
                </c:pt>
              </c:strCache>
            </c:strRef>
          </c:cat>
          <c:val>
            <c:numRef>
              <c:f>'SHGs Contributions'!$K$39</c:f>
              <c:numCache>
                <c:formatCode>#,##0;[Red]#,##0</c:formatCode>
                <c:ptCount val="1"/>
                <c:pt idx="0">
                  <c:v>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4BA8-43E8-84F5-0D5F269855D7}"/>
            </c:ext>
          </c:extLst>
        </c:ser>
        <c:ser>
          <c:idx val="33"/>
          <c:order val="33"/>
          <c:tx>
            <c:strRef>
              <c:f>'SHGs Contributions'!$J$40</c:f>
              <c:strCache>
                <c:ptCount val="1"/>
                <c:pt idx="0">
                  <c:v>UTOONI NETWORKING SELF HELP GROUP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'SHGs Contributions'!$K$4:$K$6</c:f>
              <c:strCache>
                <c:ptCount val="1"/>
                <c:pt idx="0">
                  <c:v>Amount  (Ksh.)                                                              </c:v>
                </c:pt>
              </c:strCache>
            </c:strRef>
          </c:cat>
          <c:val>
            <c:numRef>
              <c:f>'SHGs Contributions'!$K$40</c:f>
              <c:numCache>
                <c:formatCode>#,##0;[Red]#,##0</c:formatCode>
                <c:ptCount val="1"/>
                <c:pt idx="0">
                  <c:v>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4BA8-43E8-84F5-0D5F269855D7}"/>
            </c:ext>
          </c:extLst>
        </c:ser>
        <c:ser>
          <c:idx val="34"/>
          <c:order val="34"/>
          <c:tx>
            <c:strRef>
              <c:f>'SHGs Contributions'!$J$41</c:f>
              <c:strCache>
                <c:ptCount val="1"/>
                <c:pt idx="0">
                  <c:v>Katitika self help group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'SHGs Contributions'!$K$4:$K$6</c:f>
              <c:strCache>
                <c:ptCount val="1"/>
                <c:pt idx="0">
                  <c:v>Amount  (Ksh.)                                                              </c:v>
                </c:pt>
              </c:strCache>
            </c:strRef>
          </c:cat>
          <c:val>
            <c:numRef>
              <c:f>'SHGs Contributions'!$K$41</c:f>
              <c:numCache>
                <c:formatCode>#,##0;[Red]#,##0</c:formatCode>
                <c:ptCount val="1"/>
                <c:pt idx="0">
                  <c:v>1300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4BA8-43E8-84F5-0D5F269855D7}"/>
            </c:ext>
          </c:extLst>
        </c:ser>
        <c:ser>
          <c:idx val="35"/>
          <c:order val="35"/>
          <c:tx>
            <c:strRef>
              <c:f>'SHGs Contributions'!$J$42</c:f>
              <c:strCache>
                <c:ptCount val="1"/>
                <c:pt idx="0">
                  <c:v>Young Diplomats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'SHGs Contributions'!$K$4:$K$6</c:f>
              <c:strCache>
                <c:ptCount val="1"/>
                <c:pt idx="0">
                  <c:v>Amount  (Ksh.)                                                              </c:v>
                </c:pt>
              </c:strCache>
            </c:strRef>
          </c:cat>
          <c:val>
            <c:numRef>
              <c:f>'SHGs Contributions'!$K$42</c:f>
              <c:numCache>
                <c:formatCode>#,##0;[Red]#,##0</c:formatCode>
                <c:ptCount val="1"/>
                <c:pt idx="0">
                  <c:v>1137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4BA8-43E8-84F5-0D5F269855D7}"/>
            </c:ext>
          </c:extLst>
        </c:ser>
        <c:ser>
          <c:idx val="36"/>
          <c:order val="36"/>
          <c:tx>
            <c:strRef>
              <c:f>'SHGs Contributions'!$J$43</c:f>
              <c:strCache>
                <c:ptCount val="1"/>
                <c:pt idx="0">
                  <c:v>NDUNDUNE WOMEN GROUP.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'SHGs Contributions'!$K$4:$K$6</c:f>
              <c:strCache>
                <c:ptCount val="1"/>
                <c:pt idx="0">
                  <c:v>Amount  (Ksh.)                                                              </c:v>
                </c:pt>
              </c:strCache>
            </c:strRef>
          </c:cat>
          <c:val>
            <c:numRef>
              <c:f>'SHGs Contributions'!$K$43</c:f>
              <c:numCache>
                <c:formatCode>#,##0;[Red]#,##0</c:formatCode>
                <c:ptCount val="1"/>
                <c:pt idx="0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4BA8-43E8-84F5-0D5F269855D7}"/>
            </c:ext>
          </c:extLst>
        </c:ser>
        <c:ser>
          <c:idx val="37"/>
          <c:order val="37"/>
          <c:tx>
            <c:strRef>
              <c:f>'SHGs Contributions'!$J$44</c:f>
              <c:strCache>
                <c:ptCount val="1"/>
                <c:pt idx="0">
                  <c:v>Kyaamungi self help group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'SHGs Contributions'!$K$4:$K$6</c:f>
              <c:strCache>
                <c:ptCount val="1"/>
                <c:pt idx="0">
                  <c:v>Amount  (Ksh.)                                                              </c:v>
                </c:pt>
              </c:strCache>
            </c:strRef>
          </c:cat>
          <c:val>
            <c:numRef>
              <c:f>'SHGs Contributions'!$K$44</c:f>
              <c:numCache>
                <c:formatCode>#,##0;[Red]#,##0</c:formatCode>
                <c:ptCount val="1"/>
                <c:pt idx="0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4BA8-43E8-84F5-0D5F269855D7}"/>
            </c:ext>
          </c:extLst>
        </c:ser>
        <c:ser>
          <c:idx val="38"/>
          <c:order val="38"/>
          <c:tx>
            <c:strRef>
              <c:f>'SHGs Contributions'!$J$45</c:f>
              <c:strCache>
                <c:ptCount val="1"/>
                <c:pt idx="0">
                  <c:v>Adult Education class syokithumbi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'SHGs Contributions'!$K$4:$K$6</c:f>
              <c:strCache>
                <c:ptCount val="1"/>
                <c:pt idx="0">
                  <c:v>Amount  (Ksh.)                                                              </c:v>
                </c:pt>
              </c:strCache>
            </c:strRef>
          </c:cat>
          <c:val>
            <c:numRef>
              <c:f>'SHGs Contributions'!$K$45</c:f>
              <c:numCache>
                <c:formatCode>#,##0;[Red]#,##0</c:formatCode>
                <c:ptCount val="1"/>
                <c:pt idx="0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4BA8-43E8-84F5-0D5F269855D7}"/>
            </c:ext>
          </c:extLst>
        </c:ser>
        <c:ser>
          <c:idx val="39"/>
          <c:order val="39"/>
          <c:tx>
            <c:strRef>
              <c:f>'SHGs Contributions'!$J$46</c:f>
              <c:strCache>
                <c:ptCount val="1"/>
                <c:pt idx="0">
                  <c:v>Gwatano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'SHGs Contributions'!$K$4:$K$6</c:f>
              <c:strCache>
                <c:ptCount val="1"/>
                <c:pt idx="0">
                  <c:v>Amount  (Ksh.)                                                              </c:v>
                </c:pt>
              </c:strCache>
            </c:strRef>
          </c:cat>
          <c:val>
            <c:numRef>
              <c:f>'SHGs Contributions'!$K$46</c:f>
              <c:numCache>
                <c:formatCode>#,##0;[Red]#,##0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4BA8-43E8-84F5-0D5F269855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3082511"/>
        <c:axId val="343077519"/>
      </c:barChart>
      <c:catAx>
        <c:axId val="343082511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Group Name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343077519"/>
        <c:crosses val="autoZero"/>
        <c:auto val="1"/>
        <c:lblAlgn val="ctr"/>
        <c:lblOffset val="100"/>
        <c:noMultiLvlLbl val="0"/>
      </c:catAx>
      <c:valAx>
        <c:axId val="3430775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Amount (Ksh)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;[Red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082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118181768159482"/>
          <c:y val="5.034339457567804E-2"/>
          <c:w val="0.22962631786784374"/>
          <c:h val="0.869104854118134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86</xdr:row>
      <xdr:rowOff>0</xdr:rowOff>
    </xdr:from>
    <xdr:to>
      <xdr:col>6</xdr:col>
      <xdr:colOff>285750</xdr:colOff>
      <xdr:row>116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1581150</xdr:colOff>
      <xdr:row>4</xdr:row>
      <xdr:rowOff>171449</xdr:rowOff>
    </xdr:from>
    <xdr:to>
      <xdr:col>14</xdr:col>
      <xdr:colOff>400050</xdr:colOff>
      <xdr:row>35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201083</xdr:colOff>
      <xdr:row>50</xdr:row>
      <xdr:rowOff>10583</xdr:rowOff>
    </xdr:from>
    <xdr:to>
      <xdr:col>8</xdr:col>
      <xdr:colOff>381000</xdr:colOff>
      <xdr:row>75</xdr:row>
      <xdr:rowOff>179916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2" name="Table2" displayName="Table2" ref="B9:G17" totalsRowShown="0">
  <autoFilter ref="B9:G17"/>
  <tableColumns count="6">
    <tableColumn id="1" name="Column1" dataDxfId="201"/>
    <tableColumn id="3" name="Column2" dataDxfId="200"/>
    <tableColumn id="4" name="Column3" dataDxfId="199"/>
    <tableColumn id="5" name="Column4" dataDxfId="29"/>
    <tableColumn id="7" name="Column42" dataDxfId="28" dataCellStyle="style1626791497329">
      <calculatedColumnFormula>Table2[[#This Row],[Column5]]/$G$17</calculatedColumnFormula>
    </tableColumn>
    <tableColumn id="6" name="Column5"/>
  </tableColumns>
  <tableStyleInfo name="TableStyleMedium27" showFirstColumn="0" showLastColumn="0" showRowStripes="1" showColumnStripes="0"/>
</table>
</file>

<file path=xl/tables/table2.xml><?xml version="1.0" encoding="utf-8"?>
<table xmlns="http://schemas.openxmlformats.org/spreadsheetml/2006/main" id="3" name="Table24" displayName="Table24" ref="B22:G30" totalsRowShown="0">
  <autoFilter ref="B22:G30"/>
  <tableColumns count="6">
    <tableColumn id="1" name="Column1" dataDxfId="198"/>
    <tableColumn id="3" name="Column2" dataDxfId="197"/>
    <tableColumn id="4" name="Column3" dataDxfId="196"/>
    <tableColumn id="5" name="Column4" dataDxfId="195"/>
    <tableColumn id="7" name="Column42" dataDxfId="194" dataCellStyle="style1626791497329">
      <calculatedColumnFormula>Table24[[#This Row],[Column5]]/$G$17</calculatedColumnFormula>
    </tableColumn>
    <tableColumn id="6" name="Column5"/>
  </tableColumns>
  <tableStyleInfo name="TableStyleMedium27" showFirstColumn="0" showLastColumn="0" showRowStripes="1" showColumnStripes="0"/>
</table>
</file>

<file path=xl/tables/table3.xml><?xml version="1.0" encoding="utf-8"?>
<table xmlns="http://schemas.openxmlformats.org/spreadsheetml/2006/main" id="7" name="Table24278" displayName="Table24278" ref="B39:F45" totalsRowShown="0" dataDxfId="193">
  <autoFilter ref="B39:F45"/>
  <tableColumns count="5">
    <tableColumn id="1" name="Column1" dataDxfId="192"/>
    <tableColumn id="3" name="Column2" dataDxfId="191"/>
    <tableColumn id="4" name="Column3" dataDxfId="190"/>
    <tableColumn id="7" name="Column42" dataDxfId="189" dataCellStyle="style1626791497329">
      <calculatedColumnFormula>(Table24278[[#This Row],[Column5]]/F45)*100</calculatedColumnFormula>
    </tableColumn>
    <tableColumn id="6" name="Column5" dataDxfId="188"/>
  </tableColumns>
  <tableStyleInfo name="TableStyleMedium27" showFirstColumn="0" showLastColumn="0" showRowStripes="1" showColumnStripes="0"/>
</table>
</file>

<file path=xl/tables/table4.xml><?xml version="1.0" encoding="utf-8"?>
<table xmlns="http://schemas.openxmlformats.org/spreadsheetml/2006/main" id="8" name="Table242789" displayName="Table242789" ref="B50:F56" totalsRowShown="0" dataDxfId="187">
  <autoFilter ref="B50:F56"/>
  <tableColumns count="5">
    <tableColumn id="1" name="Column1" dataDxfId="186"/>
    <tableColumn id="3" name="Column2" dataDxfId="185"/>
    <tableColumn id="4" name="Column3" dataDxfId="184"/>
    <tableColumn id="7" name="Column42" dataDxfId="183" dataCellStyle="style1626791497329">
      <calculatedColumnFormula>(Table242789[[#This Row],[Column5]]/F56)*100</calculatedColumnFormula>
    </tableColumn>
    <tableColumn id="6" name="Column5" dataDxfId="182">
      <calculatedColumnFormula>Table242789[[#This Row],[Column2]]+Table242789[[#This Row],[Column3]]</calculatedColumnFormula>
    </tableColumn>
  </tableColumns>
  <tableStyleInfo name="TableStyleMedium27" showFirstColumn="0" showLastColumn="0" showRowStripes="1" showColumnStripes="0"/>
</table>
</file>

<file path=xl/tables/table5.xml><?xml version="1.0" encoding="utf-8"?>
<table xmlns="http://schemas.openxmlformats.org/spreadsheetml/2006/main" id="9" name="Table24278910" displayName="Table24278910" ref="B64:F84" totalsRowShown="0" dataDxfId="181">
  <autoFilter ref="B64:F84"/>
  <tableColumns count="5">
    <tableColumn id="1" name="Column1" dataDxfId="180"/>
    <tableColumn id="3" name="Column2" dataDxfId="179"/>
    <tableColumn id="4" name="Column3" dataDxfId="178"/>
    <tableColumn id="7" name="Column42" dataDxfId="177" dataCellStyle="style1626791497329">
      <calculatedColumnFormula>(Table24278910[[#This Row],[Column5]]/F77)*100</calculatedColumnFormula>
    </tableColumn>
    <tableColumn id="6" name="Column5" dataDxfId="176">
      <calculatedColumnFormula>Table24278910[[#This Row],[Column2]]+Table24278910[[#This Row],[Column3]]</calculatedColumnFormula>
    </tableColumn>
  </tableColumns>
  <tableStyleInfo name="TableStyleMedium27" showFirstColumn="0" showLastColumn="0" showRowStripes="1" showColumnStripes="0"/>
</table>
</file>

<file path=xl/tables/table6.xml><?xml version="1.0" encoding="utf-8"?>
<table xmlns="http://schemas.openxmlformats.org/spreadsheetml/2006/main" id="10" name="Table2427811" displayName="Table2427811" ref="B9:F12" totalsRowShown="0" dataDxfId="175">
  <autoFilter ref="B9:F12"/>
  <tableColumns count="5">
    <tableColumn id="1" name="Column1" dataDxfId="174"/>
    <tableColumn id="3" name="Column2" dataDxfId="173"/>
    <tableColumn id="4" name="Column3" dataDxfId="172"/>
    <tableColumn id="7" name="Column42" dataDxfId="171" dataCellStyle="style1626791497329">
      <calculatedColumnFormula>(Table2427811[[#This Row],[Column5]]/F12)*100</calculatedColumnFormula>
    </tableColumn>
    <tableColumn id="6" name="Column5" dataDxfId="170"/>
  </tableColumns>
  <tableStyleInfo name="TableStyleMedium27" showFirstColumn="0" showLastColumn="0" showRowStripes="1" showColumnStripes="0"/>
</table>
</file>

<file path=xl/tables/table7.xml><?xml version="1.0" encoding="utf-8"?>
<table xmlns="http://schemas.openxmlformats.org/spreadsheetml/2006/main" id="11" name="Table242781112" displayName="Table242781112" ref="B18:F21" totalsRowShown="0" dataDxfId="169">
  <autoFilter ref="B18:F21"/>
  <tableColumns count="5">
    <tableColumn id="1" name="Column1" dataDxfId="168"/>
    <tableColumn id="3" name="Column2" dataDxfId="167"/>
    <tableColumn id="4" name="Column3" dataDxfId="166"/>
    <tableColumn id="7" name="Column42" dataDxfId="165" dataCellStyle="style1626791497329">
      <calculatedColumnFormula>(Table242781112[[#This Row],[Column5]]/F21)*100</calculatedColumnFormula>
    </tableColumn>
    <tableColumn id="6" name="Column5" dataDxfId="164"/>
  </tableColumns>
  <tableStyleInfo name="TableStyleMedium27" showFirstColumn="0" showLastColumn="0" showRowStripes="1" showColumnStripes="0"/>
</table>
</file>

<file path=xl/tables/table8.xml><?xml version="1.0" encoding="utf-8"?>
<table xmlns="http://schemas.openxmlformats.org/spreadsheetml/2006/main" id="12" name="Table24278111213" displayName="Table24278111213" ref="B27:F30" totalsRowShown="0" dataDxfId="163">
  <autoFilter ref="B27:F30"/>
  <tableColumns count="5">
    <tableColumn id="1" name="Column1" dataDxfId="162"/>
    <tableColumn id="3" name="Column2" dataDxfId="161"/>
    <tableColumn id="4" name="Column3" dataDxfId="160"/>
    <tableColumn id="7" name="Column42" dataDxfId="159" dataCellStyle="style1626791497329">
      <calculatedColumnFormula>(Table24278111213[[#This Row],[Column5]]/F30)*100</calculatedColumnFormula>
    </tableColumn>
    <tableColumn id="6" name="Column5" dataDxfId="158"/>
  </tableColumns>
  <tableStyleInfo name="TableStyleMedium27" showFirstColumn="0" showLastColumn="0" showRowStripes="1" showColumnStripes="0"/>
</table>
</file>

<file path=xl/tables/table9.xml><?xml version="1.0" encoding="utf-8"?>
<table xmlns="http://schemas.openxmlformats.org/spreadsheetml/2006/main" id="13" name="Table2427811121314" displayName="Table2427811121314" ref="B36:F39" totalsRowShown="0" dataDxfId="157">
  <autoFilter ref="B36:F39"/>
  <tableColumns count="5">
    <tableColumn id="1" name="Column1" dataDxfId="156"/>
    <tableColumn id="3" name="Column2" dataDxfId="155"/>
    <tableColumn id="4" name="Column3" dataDxfId="154"/>
    <tableColumn id="7" name="Column42" dataDxfId="153" dataCellStyle="style1626791497329">
      <calculatedColumnFormula>(Table2427811121314[[#This Row],[Column5]]/F39)*100</calculatedColumnFormula>
    </tableColumn>
    <tableColumn id="6" name="Column5" dataDxfId="152"/>
  </tableColumns>
  <tableStyleInfo name="TableStyleMedium27" showFirstColumn="0" showLastColumn="0" showRowStripes="1" showColumnStripes="0"/>
</table>
</file>

<file path=xl/tables/table10.xml><?xml version="1.0" encoding="utf-8"?>
<table xmlns="http://schemas.openxmlformats.org/spreadsheetml/2006/main" id="16" name="Table2427811121317" displayName="Table2427811121317" ref="B48:F51" totalsRowShown="0" dataDxfId="151">
  <autoFilter ref="B48:F51"/>
  <tableColumns count="5">
    <tableColumn id="1" name="Column1" dataDxfId="150"/>
    <tableColumn id="3" name="Column2" dataDxfId="149"/>
    <tableColumn id="4" name="Column3" dataDxfId="148"/>
    <tableColumn id="7" name="Column42" dataDxfId="147" dataCellStyle="style1626791497329">
      <calculatedColumnFormula>(Table2427811121317[[#This Row],[Column5]]/#REF!)*100</calculatedColumnFormula>
    </tableColumn>
    <tableColumn id="6" name="Column5" dataDxfId="146"/>
  </tableColumns>
  <tableStyleInfo name="TableStyleMedium27" showFirstColumn="0" showLastColumn="0" showRowStripes="1" showColumnStripes="0"/>
</table>
</file>

<file path=xl/tables/table11.xml><?xml version="1.0" encoding="utf-8"?>
<table xmlns="http://schemas.openxmlformats.org/spreadsheetml/2006/main" id="18" name="Table242781112131419" displayName="Table242781112131419" ref="B81:F84" totalsRowShown="0" dataDxfId="145">
  <autoFilter ref="B81:F84"/>
  <tableColumns count="5">
    <tableColumn id="1" name="Column1" dataDxfId="144"/>
    <tableColumn id="3" name="Column2" dataDxfId="143"/>
    <tableColumn id="4" name="Column3" dataDxfId="142"/>
    <tableColumn id="7" name="Column42" dataDxfId="141" dataCellStyle="style1626791497329">
      <calculatedColumnFormula>(Table242781112131419[[#This Row],[Column5]]/F84)*100</calculatedColumnFormula>
    </tableColumn>
    <tableColumn id="6" name="Column5" dataDxfId="140"/>
  </tableColumns>
  <tableStyleInfo name="TableStyleMedium27" showFirstColumn="0" showLastColumn="0" showRowStripes="1" showColumnStripes="0"/>
</table>
</file>

<file path=xl/tables/table12.xml><?xml version="1.0" encoding="utf-8"?>
<table xmlns="http://schemas.openxmlformats.org/spreadsheetml/2006/main" id="17" name="Table2427891018" displayName="Table2427891018" ref="B57:F73" totalsRowShown="0" dataDxfId="139">
  <autoFilter ref="B57:F73"/>
  <tableColumns count="5">
    <tableColumn id="1" name="Column1" dataDxfId="138"/>
    <tableColumn id="3" name="Column2" dataDxfId="137"/>
    <tableColumn id="4" name="Column3" dataDxfId="136"/>
    <tableColumn id="7" name="Column42" dataDxfId="135" dataCellStyle="style1626791497329">
      <calculatedColumnFormula>(Table2427891018[[#This Row],[Column5]]/F73)*100</calculatedColumnFormula>
    </tableColumn>
    <tableColumn id="6" name="Column5" dataDxfId="134">
      <calculatedColumnFormula>Table2427891018[[#This Row],[Column2]]+Table2427891018[[#This Row],[Column3]]</calculatedColumnFormula>
    </tableColumn>
  </tableColumns>
  <tableStyleInfo name="TableStyleMedium27" showFirstColumn="0" showLastColumn="0" showRowStripes="1" showColumnStripes="0"/>
</table>
</file>

<file path=xl/tables/table13.xml><?xml version="1.0" encoding="utf-8"?>
<table xmlns="http://schemas.openxmlformats.org/spreadsheetml/2006/main" id="19" name="Table242789101820" displayName="Table242789101820" ref="B8:C48" totalsRowShown="0" headerRowDxfId="133" dataDxfId="132">
  <autoFilter ref="B8:C48"/>
  <tableColumns count="2">
    <tableColumn id="1" name="Column1" dataDxfId="131"/>
    <tableColumn id="7" name="Column42" dataDxfId="130" dataCellStyle="style1626791497329">
      <calculatedColumnFormula>(#REF!/#REF!)*100</calculatedColumnFormula>
    </tableColumn>
  </tableColumns>
  <tableStyleInfo name="TableStyleMedium27" showFirstColumn="0" showLastColumn="0" showRowStripes="1" showColumnStripes="0"/>
</table>
</file>

<file path=xl/tables/table14.xml><?xml version="1.0" encoding="utf-8"?>
<table xmlns="http://schemas.openxmlformats.org/spreadsheetml/2006/main" id="5" name="Table24278111213176" displayName="Table24278111213176" ref="B7:F13" totalsRowShown="0" dataDxfId="129">
  <autoFilter ref="B7:F13"/>
  <tableColumns count="5">
    <tableColumn id="1" name="Column1" dataDxfId="128"/>
    <tableColumn id="3" name="Column2" dataDxfId="127"/>
    <tableColumn id="4" name="Column3" dataDxfId="126"/>
    <tableColumn id="7" name="Column42" dataDxfId="125" dataCellStyle="style1626791497329">
      <calculatedColumnFormula>(Table24278111213176[[#This Row],[Column5]]/F13)*100</calculatedColumnFormula>
    </tableColumn>
    <tableColumn id="6" name="Column5" dataDxfId="124"/>
  </tableColumns>
  <tableStyleInfo name="TableStyleMedium27" showFirstColumn="0" showLastColumn="0" showRowStripes="1" showColumnStripes="0"/>
</table>
</file>

<file path=xl/tables/table15.xml><?xml version="1.0" encoding="utf-8"?>
<table xmlns="http://schemas.openxmlformats.org/spreadsheetml/2006/main" id="6" name="Table242781112131767" displayName="Table242781112131767" ref="B18:F24" totalsRowShown="0" dataDxfId="123">
  <autoFilter ref="B18:F24"/>
  <tableColumns count="5">
    <tableColumn id="1" name="Column1" dataDxfId="122"/>
    <tableColumn id="3" name="Column2" dataDxfId="121"/>
    <tableColumn id="4" name="Column3" dataDxfId="120"/>
    <tableColumn id="7" name="Column42" dataDxfId="119" dataCellStyle="style1626791497329">
      <calculatedColumnFormula>(Table242781112131767[[#This Row],[Column5]]/F24)*100</calculatedColumnFormula>
    </tableColumn>
    <tableColumn id="6" name="Column5" dataDxfId="118"/>
  </tableColumns>
  <tableStyleInfo name="TableStyleMedium27" showFirstColumn="0" showLastColumn="0" showRowStripes="1" showColumnStripes="0"/>
</table>
</file>

<file path=xl/tables/table16.xml><?xml version="1.0" encoding="utf-8"?>
<table xmlns="http://schemas.openxmlformats.org/spreadsheetml/2006/main" id="14" name="Table24278111213176715" displayName="Table24278111213176715" ref="B30:F34" totalsRowShown="0" dataDxfId="117">
  <autoFilter ref="B30:F34"/>
  <tableColumns count="5">
    <tableColumn id="1" name="Column1" dataDxfId="116"/>
    <tableColumn id="3" name="Column2" dataDxfId="115"/>
    <tableColumn id="4" name="Column3" dataDxfId="114"/>
    <tableColumn id="7" name="Column42" dataDxfId="113" dataCellStyle="style1626791497329">
      <calculatedColumnFormula>(Table24278111213176715[[#This Row],[Column5]]/F34)*100</calculatedColumnFormula>
    </tableColumn>
    <tableColumn id="6" name="Column5" dataDxfId="112"/>
  </tableColumns>
  <tableStyleInfo name="TableStyleMedium27" showFirstColumn="0" showLastColumn="0" showRowStripes="1" showColumnStripes="0"/>
</table>
</file>

<file path=xl/tables/table17.xml><?xml version="1.0" encoding="utf-8"?>
<table xmlns="http://schemas.openxmlformats.org/spreadsheetml/2006/main" id="15" name="Table2427811121317671516" displayName="Table2427811121317671516" ref="B39:F43" totalsRowShown="0" dataDxfId="111">
  <autoFilter ref="B39:F43"/>
  <tableColumns count="5">
    <tableColumn id="1" name="Column1" dataDxfId="110"/>
    <tableColumn id="3" name="Column2" dataDxfId="109"/>
    <tableColumn id="4" name="Column3" dataDxfId="108"/>
    <tableColumn id="7" name="Column42" dataDxfId="107" dataCellStyle="style1626791497329">
      <calculatedColumnFormula>(Table2427811121317671516[[#This Row],[Column5]]/F43)*100</calculatedColumnFormula>
    </tableColumn>
    <tableColumn id="6" name="Column5" dataDxfId="106"/>
  </tableColumns>
  <tableStyleInfo name="TableStyleMedium27" showFirstColumn="0" showLastColumn="0" showRowStripes="1" showColumnStripes="0"/>
</table>
</file>

<file path=xl/tables/table18.xml><?xml version="1.0" encoding="utf-8"?>
<table xmlns="http://schemas.openxmlformats.org/spreadsheetml/2006/main" id="20" name="Table242781112131767151621" displayName="Table242781112131767151621" ref="B50:F56" totalsRowShown="0" dataDxfId="105">
  <autoFilter ref="B50:F56"/>
  <tableColumns count="5">
    <tableColumn id="1" name="Column1" dataDxfId="104"/>
    <tableColumn id="3" name="Column2" dataDxfId="103"/>
    <tableColumn id="4" name="Column3" dataDxfId="102"/>
    <tableColumn id="7" name="Column42" dataDxfId="101" dataCellStyle="style1626791497329">
      <calculatedColumnFormula>(Table242781112131767151621[[#This Row],[Column5]]/F54)*100</calculatedColumnFormula>
    </tableColumn>
    <tableColumn id="6" name="Column5" dataDxfId="100"/>
  </tableColumns>
  <tableStyleInfo name="TableStyleMedium27" showFirstColumn="0" showLastColumn="0" showRowStripes="1" showColumnStripes="0"/>
</table>
</file>

<file path=xl/tables/table19.xml><?xml version="1.0" encoding="utf-8"?>
<table xmlns="http://schemas.openxmlformats.org/spreadsheetml/2006/main" id="24" name="Table24278910182025" displayName="Table24278910182025" ref="B6:F46" totalsRowShown="0" headerRowDxfId="99" dataDxfId="98">
  <autoFilter ref="B6:F46"/>
  <tableColumns count="5">
    <tableColumn id="1" name="Column1" dataDxfId="97"/>
    <tableColumn id="7" name="Column42" dataDxfId="96" dataCellStyle="style1626791497329">
      <calculatedColumnFormula>(#REF!/#REF!)*100</calculatedColumnFormula>
    </tableColumn>
    <tableColumn id="4" name="Column422" dataDxfId="95"/>
    <tableColumn id="3" name="Column43" dataDxfId="94"/>
    <tableColumn id="5" name="Column44" dataDxfId="93">
      <calculatedColumnFormula>Table24278910182025[[#This Row],[Column43]]/Table24278910182025[[#This Row],[Column422]]</calculatedColumnFormula>
    </tableColumn>
  </tableColumns>
  <tableStyleInfo name="TableStyleMedium27" showFirstColumn="0" showLastColumn="0" showRowStripes="1" showColumnStripes="0"/>
</table>
</file>

<file path=xl/tables/table20.xml><?xml version="1.0" encoding="utf-8"?>
<table xmlns="http://schemas.openxmlformats.org/spreadsheetml/2006/main" id="25" name="Table24278111213176715162126" displayName="Table24278111213176715162126" ref="B8:F14" totalsRowShown="0" dataDxfId="92">
  <autoFilter ref="B8:F14"/>
  <tableColumns count="5">
    <tableColumn id="1" name="Column1" dataDxfId="91"/>
    <tableColumn id="3" name="Column2" dataDxfId="90"/>
    <tableColumn id="4" name="Column3" dataDxfId="89"/>
    <tableColumn id="7" name="Column42" dataDxfId="88" dataCellStyle="style1626791497329">
      <calculatedColumnFormula>(Table24278111213176715162126[[#This Row],[Column5]]/F12)*100</calculatedColumnFormula>
    </tableColumn>
    <tableColumn id="6" name="Column5" dataDxfId="87"/>
  </tableColumns>
  <tableStyleInfo name="TableStyleMedium27" showFirstColumn="0" showLastColumn="0" showRowStripes="1" showColumnStripes="0"/>
</table>
</file>

<file path=xl/tables/table21.xml><?xml version="1.0" encoding="utf-8"?>
<table xmlns="http://schemas.openxmlformats.org/spreadsheetml/2006/main" id="26" name="Table2427811121317671527" displayName="Table2427811121317671527" ref="B21:G30" totalsRowShown="0" dataDxfId="86">
  <autoFilter ref="B21:G30"/>
  <tableColumns count="6">
    <tableColumn id="1" name="Column1" dataDxfId="85"/>
    <tableColumn id="3" name="Column2" dataDxfId="84"/>
    <tableColumn id="4" name="Column3" dataDxfId="83"/>
    <tableColumn id="7" name="Column42" dataDxfId="82" dataCellStyle="style1626791497329">
      <calculatedColumnFormula>(Table2427811121317671527[[#This Row],[Column5]]/F29)*100</calculatedColumnFormula>
    </tableColumn>
    <tableColumn id="6" name="Column5" dataDxfId="81"/>
    <tableColumn id="2" name="Column6" dataDxfId="27">
      <calculatedColumnFormula>Table2427811121317671527[[#This Row],[Column5]]/F29</calculatedColumnFormula>
    </tableColumn>
  </tableColumns>
  <tableStyleInfo name="TableStyleMedium27" showFirstColumn="0" showLastColumn="0" showRowStripes="1" showColumnStripes="0"/>
</table>
</file>

<file path=xl/tables/table22.xml><?xml version="1.0" encoding="utf-8"?>
<table xmlns="http://schemas.openxmlformats.org/spreadsheetml/2006/main" id="27" name="Table242781112131767152728" displayName="Table242781112131767152728" ref="B38:F46" totalsRowShown="0" dataDxfId="80">
  <autoFilter ref="B38:F46"/>
  <tableColumns count="5">
    <tableColumn id="1" name="Column1" dataDxfId="79"/>
    <tableColumn id="3" name="Column2" dataDxfId="78"/>
    <tableColumn id="4" name="Column3" dataDxfId="77"/>
    <tableColumn id="7" name="Column42" dataDxfId="76" dataCellStyle="style1626791497329">
      <calculatedColumnFormula>(Table242781112131767152728[[#This Row],[Column5]]/F46)*100</calculatedColumnFormula>
    </tableColumn>
    <tableColumn id="6" name="Column5" dataDxfId="75"/>
  </tableColumns>
  <tableStyleInfo name="TableStyleMedium27" showFirstColumn="0" showLastColumn="0" showRowStripes="1" showColumnStripes="0"/>
</table>
</file>

<file path=xl/tables/table23.xml><?xml version="1.0" encoding="utf-8"?>
<table xmlns="http://schemas.openxmlformats.org/spreadsheetml/2006/main" id="33" name="Table24278111213176715272834" displayName="Table24278111213176715272834" ref="B62:F70" totalsRowShown="0" dataDxfId="74">
  <autoFilter ref="B62:F70"/>
  <tableColumns count="5">
    <tableColumn id="1" name="Column1" dataDxfId="73"/>
    <tableColumn id="3" name="Column2" dataDxfId="72"/>
    <tableColumn id="4" name="Column3" dataDxfId="71"/>
    <tableColumn id="7" name="Column42" dataDxfId="70" dataCellStyle="style1626791497329">
      <calculatedColumnFormula>(Table24278111213176715272834[[#This Row],[Column5]]/F70)*100</calculatedColumnFormula>
    </tableColumn>
    <tableColumn id="6" name="Column5" dataDxfId="69"/>
  </tableColumns>
  <tableStyleInfo name="TableStyleMedium27" showFirstColumn="0" showLastColumn="0" showRowStripes="1" showColumnStripes="0"/>
</table>
</file>

<file path=xl/tables/table24.xml><?xml version="1.0" encoding="utf-8"?>
<table xmlns="http://schemas.openxmlformats.org/spreadsheetml/2006/main" id="28" name="Table242781129" displayName="Table242781129" ref="B9:F12" totalsRowShown="0" dataDxfId="68">
  <autoFilter ref="B9:F12"/>
  <tableColumns count="5">
    <tableColumn id="1" name="Column1" dataDxfId="67"/>
    <tableColumn id="3" name="Column2" dataDxfId="66"/>
    <tableColumn id="4" name="Column3" dataDxfId="65"/>
    <tableColumn id="7" name="Column42" dataDxfId="64" dataCellStyle="style1626791497329">
      <calculatedColumnFormula>(Table242781129[[#This Row],[Column5]]/F12)*100</calculatedColumnFormula>
    </tableColumn>
    <tableColumn id="6" name="Column5" dataDxfId="63"/>
  </tableColumns>
  <tableStyleInfo name="TableStyleMedium27" showFirstColumn="0" showLastColumn="0" showRowStripes="1" showColumnStripes="0"/>
</table>
</file>

<file path=xl/tables/table25.xml><?xml version="1.0" encoding="utf-8"?>
<table xmlns="http://schemas.openxmlformats.org/spreadsheetml/2006/main" id="29" name="Table24278111230" displayName="Table24278111230" ref="B18:F21" totalsRowShown="0" dataDxfId="62">
  <autoFilter ref="B18:F21"/>
  <tableColumns count="5">
    <tableColumn id="1" name="Column1" dataDxfId="61"/>
    <tableColumn id="3" name="Column2" dataDxfId="60"/>
    <tableColumn id="4" name="Column3" dataDxfId="59"/>
    <tableColumn id="7" name="Column42" dataDxfId="58" dataCellStyle="style1626791497329">
      <calculatedColumnFormula>(Table24278111230[[#This Row],[Column5]]/F21)*100</calculatedColumnFormula>
    </tableColumn>
    <tableColumn id="6" name="Column5" dataDxfId="57"/>
  </tableColumns>
  <tableStyleInfo name="TableStyleMedium27" showFirstColumn="0" showLastColumn="0" showRowStripes="1" showColumnStripes="0"/>
</table>
</file>

<file path=xl/tables/table26.xml><?xml version="1.0" encoding="utf-8"?>
<table xmlns="http://schemas.openxmlformats.org/spreadsheetml/2006/main" id="30" name="Table2427811123031" displayName="Table2427811123031" ref="B26:F29" totalsRowShown="0" dataDxfId="56">
  <autoFilter ref="B26:F29"/>
  <tableColumns count="5">
    <tableColumn id="1" name="Column1" dataDxfId="55"/>
    <tableColumn id="3" name="Column2" dataDxfId="54"/>
    <tableColumn id="4" name="Column3" dataDxfId="53"/>
    <tableColumn id="7" name="Column42" dataDxfId="52" dataCellStyle="style1626791497329">
      <calculatedColumnFormula>(Table2427811123031[[#This Row],[Column5]]/F29)*100</calculatedColumnFormula>
    </tableColumn>
    <tableColumn id="6" name="Column5" dataDxfId="51"/>
  </tableColumns>
  <tableStyleInfo name="TableStyleMedium27" showFirstColumn="0" showLastColumn="0" showRowStripes="1" showColumnStripes="0"/>
</table>
</file>

<file path=xl/tables/table27.xml><?xml version="1.0" encoding="utf-8"?>
<table xmlns="http://schemas.openxmlformats.org/spreadsheetml/2006/main" id="31" name="Table242781112303132" displayName="Table242781112303132" ref="B37:F43" totalsRowShown="0" dataDxfId="50">
  <autoFilter ref="B37:F43"/>
  <tableColumns count="5">
    <tableColumn id="1" name="Column1" dataDxfId="49"/>
    <tableColumn id="3" name="Column2" dataDxfId="48"/>
    <tableColumn id="4" name="Column3" dataDxfId="47"/>
    <tableColumn id="7" name="Column42" dataDxfId="46" dataCellStyle="style1626791497329">
      <calculatedColumnFormula>(Table242781112303132[[#This Row],[Column5]]/F41)*100</calculatedColumnFormula>
    </tableColumn>
    <tableColumn id="6" name="Column5" dataDxfId="45"/>
  </tableColumns>
  <tableStyleInfo name="TableStyleMedium27" showFirstColumn="0" showLastColumn="0" showRowStripes="1" showColumnStripes="0"/>
</table>
</file>

<file path=xl/tables/table28.xml><?xml version="1.0" encoding="utf-8"?>
<table xmlns="http://schemas.openxmlformats.org/spreadsheetml/2006/main" id="32" name="Table242781112131733" displayName="Table242781112131733" ref="B9:F12" totalsRowShown="0" dataDxfId="44">
  <autoFilter ref="B9:F12"/>
  <tableColumns count="5">
    <tableColumn id="1" name="Column1" dataDxfId="43"/>
    <tableColumn id="3" name="Column2" dataDxfId="42"/>
    <tableColumn id="4" name="Column3" dataDxfId="41"/>
    <tableColumn id="7" name="Column42" dataDxfId="40" dataCellStyle="style1626791497329">
      <calculatedColumnFormula>(Table242781112131733[[#This Row],[Column5]]/#REF!)*100</calculatedColumnFormula>
    </tableColumn>
    <tableColumn id="6" name="Column5" dataDxfId="39"/>
  </tableColumns>
  <tableStyleInfo name="TableStyleMedium27" showFirstColumn="0" showLastColumn="0" showRowStripes="1" showColumnStripes="0"/>
</table>
</file>

<file path=xl/tables/table29.xml><?xml version="1.0" encoding="utf-8"?>
<table xmlns="http://schemas.openxmlformats.org/spreadsheetml/2006/main" id="1" name="Table2427811123031322" displayName="Table2427811123031322" ref="B7:F19" totalsRowShown="0" dataDxfId="38">
  <autoFilter ref="B7:F19"/>
  <tableColumns count="5">
    <tableColumn id="1" name="Column1" dataDxfId="37"/>
    <tableColumn id="3" name="Column2" dataDxfId="36"/>
    <tableColumn id="4" name="Column3" dataDxfId="35"/>
    <tableColumn id="7" name="Column42" dataDxfId="34" dataCellStyle="style1626791497329">
      <calculatedColumnFormula>(Table2427811123031322[[#This Row],[Column5]]/F17)*100</calculatedColumnFormula>
    </tableColumn>
    <tableColumn id="6" name="Column5" dataDxfId="33"/>
  </tableColumns>
  <tableStyleInfo name="TableStyleMedium27" showFirstColumn="0" showLastColumn="0" showRowStripes="1" showColumnStripes="0"/>
</table>
</file>

<file path=xl/tables/table30.xml><?xml version="1.0" encoding="utf-8"?>
<table xmlns="http://schemas.openxmlformats.org/spreadsheetml/2006/main" id="4" name="Table24278111230313225" displayName="Table24278111230313225" ref="B7:F19" totalsRowShown="0" dataDxfId="32">
  <autoFilter ref="B7:F19"/>
  <tableColumns count="5">
    <tableColumn id="1" name="Column1" dataDxfId="31"/>
    <tableColumn id="3" name="Column2" dataDxfId="30"/>
    <tableColumn id="4" name="Column3" dataDxfId="25"/>
    <tableColumn id="7" name="Column42" dataDxfId="24" dataCellStyle="style1626791497329">
      <calculatedColumnFormula>(Table24278111230313225[[#This Row],[Column5]]/#REF!)*100</calculatedColumnFormula>
    </tableColumn>
    <tableColumn id="6" name="Column5" dataDxfId="26"/>
  </tableColumns>
  <tableStyleInfo name="TableStyleMedium27" showFirstColumn="0" showLastColumn="0" showRowStripes="1" showColumnStripes="0"/>
</table>
</file>

<file path=xl/tables/table31.xml><?xml version="1.0" encoding="utf-8"?>
<table xmlns="http://schemas.openxmlformats.org/spreadsheetml/2006/main" id="21" name="Table2427811121317671527283422" displayName="Table2427811121317671527283422" ref="B7:F12" totalsRowShown="0" dataDxfId="23">
  <autoFilter ref="B7:F12"/>
  <tableColumns count="5">
    <tableColumn id="1" name="Column1" dataDxfId="22"/>
    <tableColumn id="3" name="Column2" dataDxfId="21"/>
    <tableColumn id="4" name="Column3" dataDxfId="20"/>
    <tableColumn id="7" name="Column42" dataDxfId="19" dataCellStyle="style1626791497329">
      <calculatedColumnFormula>(Table2427811121317671527283422[[#This Row],[Column5]]/F12)*100</calculatedColumnFormula>
    </tableColumn>
    <tableColumn id="6" name="Column5" dataDxfId="18"/>
  </tableColumns>
  <tableStyleInfo name="TableStyleMedium27" showFirstColumn="0" showLastColumn="0" showRowStripes="1" showColumnStripes="0"/>
</table>
</file>

<file path=xl/tables/table32.xml><?xml version="1.0" encoding="utf-8"?>
<table xmlns="http://schemas.openxmlformats.org/spreadsheetml/2006/main" id="22" name="Table242781112131767152728342223" displayName="Table242781112131767152728342223" ref="B18:F24" totalsRowShown="0" dataDxfId="17">
  <autoFilter ref="B18:F24"/>
  <tableColumns count="5">
    <tableColumn id="1" name="Column1" dataDxfId="16"/>
    <tableColumn id="3" name="Column2" dataDxfId="15"/>
    <tableColumn id="4" name="Column3" dataDxfId="14"/>
    <tableColumn id="7" name="Column42" dataDxfId="13" dataCellStyle="style1626791497329">
      <calculatedColumnFormula>(Table242781112131767152728342223[[#This Row],[Column5]]/#REF!)*100</calculatedColumnFormula>
    </tableColumn>
    <tableColumn id="6" name="Column5" dataDxfId="12"/>
  </tableColumns>
  <tableStyleInfo name="TableStyleMedium27" showFirstColumn="0" showLastColumn="0" showRowStripes="1" showColumnStripes="0"/>
</table>
</file>

<file path=xl/tables/table33.xml><?xml version="1.0" encoding="utf-8"?>
<table xmlns="http://schemas.openxmlformats.org/spreadsheetml/2006/main" id="23" name="Table24278111213176715272834222324" displayName="Table24278111213176715272834222324" ref="B30:F34" totalsRowShown="0" dataDxfId="11">
  <autoFilter ref="B30:F34"/>
  <tableColumns count="5">
    <tableColumn id="1" name="Column1" dataDxfId="10"/>
    <tableColumn id="3" name="Column2" dataDxfId="8"/>
    <tableColumn id="4" name="Column3" dataDxfId="7"/>
    <tableColumn id="7" name="Column42" dataDxfId="6" dataCellStyle="style1626791497329">
      <calculatedColumnFormula>(Table24278111213176715272834222324[[#This Row],[Column5]]/#REF!)*100</calculatedColumnFormula>
    </tableColumn>
    <tableColumn id="6" name="Column5" dataDxfId="9"/>
  </tableColumns>
  <tableStyleInfo name="TableStyleMedium27" showFirstColumn="0" showLastColumn="0" showRowStripes="1" showColumnStripes="0"/>
</table>
</file>

<file path=xl/tables/table34.xml><?xml version="1.0" encoding="utf-8"?>
<table xmlns="http://schemas.openxmlformats.org/spreadsheetml/2006/main" id="34" name="Table24278111213173335" displayName="Table24278111213173335" ref="B41:F44" totalsRowShown="0" dataDxfId="5">
  <autoFilter ref="B41:F44"/>
  <tableColumns count="5">
    <tableColumn id="1" name="Column1" dataDxfId="4"/>
    <tableColumn id="3" name="Column2" dataDxfId="3"/>
    <tableColumn id="4" name="Column3" dataDxfId="2"/>
    <tableColumn id="7" name="Column42" dataDxfId="0" dataCellStyle="style1626791497329">
      <calculatedColumnFormula>(Table24278111213173335[[#This Row],[Column5]]/#REF!)*100</calculatedColumnFormula>
    </tableColumn>
    <tableColumn id="6" name="Column5" dataDxfId="1"/>
  </tableColumns>
  <tableStyleInfo name="TableStyleMedium2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3" Type="http://schemas.openxmlformats.org/officeDocument/2006/relationships/vmlDrawing" Target="../drawings/vmlDrawing1.vml"/><Relationship Id="rId7" Type="http://schemas.openxmlformats.org/officeDocument/2006/relationships/table" Target="../tables/table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3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Relationship Id="rId9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2.xml"/><Relationship Id="rId3" Type="http://schemas.openxmlformats.org/officeDocument/2006/relationships/table" Target="../tables/table7.xml"/><Relationship Id="rId7" Type="http://schemas.openxmlformats.org/officeDocument/2006/relationships/table" Target="../tables/table11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2.vml"/><Relationship Id="rId6" Type="http://schemas.openxmlformats.org/officeDocument/2006/relationships/table" Target="../tables/table10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Relationship Id="rId9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table" Target="../tables/table15.xml"/><Relationship Id="rId1" Type="http://schemas.openxmlformats.org/officeDocument/2006/relationships/table" Target="../tables/table14.xml"/><Relationship Id="rId5" Type="http://schemas.openxmlformats.org/officeDocument/2006/relationships/table" Target="../tables/table18.xml"/><Relationship Id="rId4" Type="http://schemas.openxmlformats.org/officeDocument/2006/relationships/table" Target="../tables/table17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7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23.xml"/><Relationship Id="rId5" Type="http://schemas.openxmlformats.org/officeDocument/2006/relationships/table" Target="../tables/table22.xml"/><Relationship Id="rId4" Type="http://schemas.openxmlformats.org/officeDocument/2006/relationships/table" Target="../tables/table2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4.xml"/><Relationship Id="rId7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7.xml"/><Relationship Id="rId5" Type="http://schemas.openxmlformats.org/officeDocument/2006/relationships/table" Target="../tables/table26.xml"/><Relationship Id="rId4" Type="http://schemas.openxmlformats.org/officeDocument/2006/relationships/table" Target="../tables/table2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8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29.xml"/><Relationship Id="rId1" Type="http://schemas.openxmlformats.org/officeDocument/2006/relationships/vmlDrawing" Target="../drawings/vmlDrawing7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30.xml"/><Relationship Id="rId1" Type="http://schemas.openxmlformats.org/officeDocument/2006/relationships/vmlDrawing" Target="../drawings/vmlDrawing8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2" Type="http://schemas.openxmlformats.org/officeDocument/2006/relationships/table" Target="../tables/table32.xml"/><Relationship Id="rId1" Type="http://schemas.openxmlformats.org/officeDocument/2006/relationships/table" Target="../tables/table31.xml"/><Relationship Id="rId4" Type="http://schemas.openxmlformats.org/officeDocument/2006/relationships/table" Target="../tables/table3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43"/>
  <sheetViews>
    <sheetView tabSelected="1" workbookViewId="0">
      <selection activeCell="I80" sqref="I80"/>
    </sheetView>
  </sheetViews>
  <sheetFormatPr defaultColWidth="0" defaultRowHeight="15" zeroHeight="1" x14ac:dyDescent="0.25"/>
  <cols>
    <col min="1" max="1" width="9.140625" customWidth="1"/>
    <col min="2" max="2" width="25.7109375" customWidth="1"/>
    <col min="3" max="3" width="17.85546875" customWidth="1"/>
    <col min="4" max="4" width="19.42578125" customWidth="1"/>
    <col min="5" max="5" width="20.28515625" customWidth="1"/>
    <col min="6" max="6" width="18.28515625" customWidth="1"/>
    <col min="7" max="8" width="9.140625" customWidth="1"/>
    <col min="9" max="9" width="8.85546875" customWidth="1"/>
    <col min="10" max="10" width="17.7109375" customWidth="1"/>
    <col min="11" max="11" width="17.140625" hidden="1" customWidth="1"/>
    <col min="12" max="12" width="14" hidden="1" customWidth="1"/>
    <col min="13" max="16384" width="9.140625" hidden="1"/>
  </cols>
  <sheetData>
    <row r="1" spans="1:9" x14ac:dyDescent="0.25"/>
    <row r="2" spans="1:9" ht="17.25" x14ac:dyDescent="0.25">
      <c r="A2" s="207" t="s">
        <v>17</v>
      </c>
      <c r="B2" s="207"/>
      <c r="C2" s="207"/>
      <c r="D2" s="207"/>
      <c r="E2" s="207"/>
      <c r="F2" s="207"/>
      <c r="G2" s="207"/>
      <c r="H2" s="207"/>
      <c r="I2" s="207"/>
    </row>
    <row r="3" spans="1:9" x14ac:dyDescent="0.25"/>
    <row r="4" spans="1:9" x14ac:dyDescent="0.25">
      <c r="A4" t="s">
        <v>37</v>
      </c>
      <c r="B4" s="206" t="s">
        <v>23</v>
      </c>
      <c r="C4" s="206"/>
      <c r="D4" s="206"/>
      <c r="E4" s="206"/>
      <c r="F4" s="206"/>
    </row>
    <row r="5" spans="1:9" x14ac:dyDescent="0.25"/>
    <row r="6" spans="1:9" ht="15.75" thickBot="1" x14ac:dyDescent="0.3">
      <c r="B6" s="194" t="s">
        <v>205</v>
      </c>
      <c r="C6" s="194"/>
      <c r="D6" s="194"/>
    </row>
    <row r="7" spans="1:9" ht="16.5" thickTop="1" thickBot="1" x14ac:dyDescent="0.3">
      <c r="B7" s="195" t="s">
        <v>2</v>
      </c>
      <c r="C7" s="197" t="s">
        <v>0</v>
      </c>
      <c r="D7" s="210"/>
      <c r="E7" s="208" t="s">
        <v>14</v>
      </c>
      <c r="F7" s="208" t="s">
        <v>16</v>
      </c>
    </row>
    <row r="8" spans="1:9" ht="16.5" thickTop="1" thickBot="1" x14ac:dyDescent="0.3">
      <c r="B8" s="196"/>
      <c r="C8" s="164" t="s">
        <v>196</v>
      </c>
      <c r="D8" s="165" t="s">
        <v>197</v>
      </c>
      <c r="E8" s="209"/>
      <c r="F8" s="209"/>
    </row>
    <row r="9" spans="1:9" ht="15.75" hidden="1" thickTop="1" x14ac:dyDescent="0.25">
      <c r="B9" s="1" t="s">
        <v>9</v>
      </c>
      <c r="C9" s="2" t="s">
        <v>10</v>
      </c>
      <c r="D9" s="3" t="s">
        <v>11</v>
      </c>
      <c r="E9" s="4" t="s">
        <v>12</v>
      </c>
      <c r="F9" s="13" t="s">
        <v>15</v>
      </c>
      <c r="G9" t="s">
        <v>13</v>
      </c>
    </row>
    <row r="10" spans="1:9" ht="15.75" thickTop="1" x14ac:dyDescent="0.25">
      <c r="B10" s="7" t="s">
        <v>1</v>
      </c>
      <c r="C10" s="8">
        <v>5647</v>
      </c>
      <c r="D10" s="8">
        <v>6617</v>
      </c>
      <c r="E10" s="9">
        <f>AVERAGE(C10:D10)</f>
        <v>6132</v>
      </c>
      <c r="F10" s="278">
        <f>Table2[[#This Row],[Column5]]/$G$17</f>
        <v>0.81024096385542166</v>
      </c>
      <c r="G10">
        <v>269</v>
      </c>
    </row>
    <row r="11" spans="1:9" x14ac:dyDescent="0.25">
      <c r="B11" s="7" t="s">
        <v>4</v>
      </c>
      <c r="C11" s="10">
        <v>4237</v>
      </c>
      <c r="D11" s="10">
        <v>10625</v>
      </c>
      <c r="E11" s="9">
        <f>AVERAGE(C11:D11)</f>
        <v>7431</v>
      </c>
      <c r="F11" s="278">
        <f>Table2[[#This Row],[Column5]]/$G$17</f>
        <v>0.12048192771084337</v>
      </c>
      <c r="G11">
        <v>40</v>
      </c>
    </row>
    <row r="12" spans="1:9" x14ac:dyDescent="0.25">
      <c r="B12" s="11" t="s">
        <v>5</v>
      </c>
      <c r="C12" s="12">
        <v>4367</v>
      </c>
      <c r="D12" s="12">
        <v>4500</v>
      </c>
      <c r="E12" s="9">
        <f>AVERAGE(C12:D12)</f>
        <v>4433.5</v>
      </c>
      <c r="F12" s="278">
        <f>Table2[[#This Row],[Column5]]/$G$17</f>
        <v>3.9156626506024098E-2</v>
      </c>
      <c r="G12">
        <v>13</v>
      </c>
    </row>
    <row r="13" spans="1:9" x14ac:dyDescent="0.25">
      <c r="B13" s="11" t="s">
        <v>8</v>
      </c>
      <c r="C13" s="10">
        <v>3000</v>
      </c>
      <c r="D13" s="10"/>
      <c r="E13" s="9">
        <f>AVERAGE(C13:D13)</f>
        <v>3000</v>
      </c>
      <c r="F13" s="278">
        <f>Table2[[#This Row],[Column5]]/$G$17</f>
        <v>1.2048192771084338E-2</v>
      </c>
      <c r="G13">
        <v>4</v>
      </c>
    </row>
    <row r="14" spans="1:9" x14ac:dyDescent="0.25">
      <c r="B14" s="7" t="s">
        <v>3</v>
      </c>
      <c r="C14" s="10">
        <v>10333</v>
      </c>
      <c r="D14" s="10"/>
      <c r="E14" s="9">
        <f>AVERAGE(C14:D14)</f>
        <v>10333</v>
      </c>
      <c r="F14" s="278">
        <f>Table2[[#This Row],[Column5]]/$G$17</f>
        <v>9.0361445783132526E-3</v>
      </c>
      <c r="G14">
        <v>3</v>
      </c>
    </row>
    <row r="15" spans="1:9" x14ac:dyDescent="0.25">
      <c r="B15" s="11" t="s">
        <v>18</v>
      </c>
      <c r="C15" s="10">
        <v>8500</v>
      </c>
      <c r="D15" s="15"/>
      <c r="E15" s="50">
        <f>AVERAGE(Table2[[#This Row],[Column2]:[Column3]])</f>
        <v>8500</v>
      </c>
      <c r="F15" s="278">
        <f>Table2[[#This Row],[Column5]]/$G$17</f>
        <v>6.024096385542169E-3</v>
      </c>
      <c r="G15">
        <v>2</v>
      </c>
    </row>
    <row r="16" spans="1:9" x14ac:dyDescent="0.25">
      <c r="B16" s="7" t="s">
        <v>6</v>
      </c>
      <c r="C16" s="10"/>
      <c r="D16" s="10">
        <v>8000</v>
      </c>
      <c r="E16" s="9">
        <f t="shared" ref="E16" si="0">AVERAGE(C16:D16)</f>
        <v>8000</v>
      </c>
      <c r="F16" s="278">
        <f>Table2[[#This Row],[Column5]]/$G$17</f>
        <v>3.0120481927710845E-3</v>
      </c>
      <c r="G16">
        <v>1</v>
      </c>
    </row>
    <row r="17" spans="2:7" x14ac:dyDescent="0.25">
      <c r="B17" s="5" t="s">
        <v>7</v>
      </c>
      <c r="C17" s="6">
        <f>AVERAGE(C10:C16)</f>
        <v>6014</v>
      </c>
      <c r="D17" s="6">
        <f>AVERAGE(D10:D16)</f>
        <v>7435.5</v>
      </c>
      <c r="E17" s="6">
        <f>AVERAGE(E10:E16)</f>
        <v>6832.7857142857147</v>
      </c>
      <c r="F17" s="14">
        <f>Table2[[#This Row],[Column5]]/$G$17</f>
        <v>1</v>
      </c>
      <c r="G17">
        <f>SUM(G10:G16)</f>
        <v>332</v>
      </c>
    </row>
    <row r="18" spans="2:7" x14ac:dyDescent="0.25"/>
    <row r="19" spans="2:7" ht="15.75" thickBot="1" x14ac:dyDescent="0.3">
      <c r="B19" s="194" t="s">
        <v>33</v>
      </c>
      <c r="C19" s="194"/>
      <c r="D19" s="194"/>
      <c r="E19" s="194"/>
    </row>
    <row r="20" spans="2:7" ht="16.5" thickTop="1" thickBot="1" x14ac:dyDescent="0.3">
      <c r="B20" s="195" t="s">
        <v>2</v>
      </c>
      <c r="C20" s="197" t="s">
        <v>19</v>
      </c>
      <c r="D20" s="210"/>
      <c r="E20" s="208" t="s">
        <v>14</v>
      </c>
      <c r="F20" s="208" t="s">
        <v>16</v>
      </c>
    </row>
    <row r="21" spans="2:7" ht="17.25" thickTop="1" thickBot="1" x14ac:dyDescent="0.35">
      <c r="B21" s="196"/>
      <c r="C21" s="22" t="s">
        <v>20</v>
      </c>
      <c r="D21" s="23" t="s">
        <v>21</v>
      </c>
      <c r="E21" s="209"/>
      <c r="F21" s="209"/>
    </row>
    <row r="22" spans="2:7" ht="15.75" hidden="1" thickTop="1" x14ac:dyDescent="0.25">
      <c r="B22" s="1" t="s">
        <v>9</v>
      </c>
      <c r="C22" s="2" t="s">
        <v>10</v>
      </c>
      <c r="D22" s="3" t="s">
        <v>11</v>
      </c>
      <c r="E22" s="4" t="s">
        <v>12</v>
      </c>
      <c r="F22" s="13" t="s">
        <v>15</v>
      </c>
      <c r="G22" t="s">
        <v>13</v>
      </c>
    </row>
    <row r="23" spans="2:7" ht="15.75" thickTop="1" x14ac:dyDescent="0.25">
      <c r="B23" s="7" t="s">
        <v>1</v>
      </c>
      <c r="C23" s="17">
        <v>7136</v>
      </c>
      <c r="D23" s="17">
        <v>5139</v>
      </c>
      <c r="E23" s="9">
        <f>AVERAGE(C23:D23)</f>
        <v>6137.5</v>
      </c>
      <c r="F23" s="278">
        <f>Table24[[#This Row],[Column5]]/$G$17</f>
        <v>0.81024096385542166</v>
      </c>
      <c r="G23">
        <v>269</v>
      </c>
    </row>
    <row r="24" spans="2:7" x14ac:dyDescent="0.25">
      <c r="B24" s="7" t="s">
        <v>4</v>
      </c>
      <c r="C24" s="20">
        <v>7532</v>
      </c>
      <c r="D24" s="20">
        <v>3446</v>
      </c>
      <c r="E24" s="9">
        <f>AVERAGE(C24:D24)</f>
        <v>5489</v>
      </c>
      <c r="F24" s="278">
        <f>Table24[[#This Row],[Column5]]/$G$17</f>
        <v>0.12048192771084337</v>
      </c>
      <c r="G24">
        <v>40</v>
      </c>
    </row>
    <row r="25" spans="2:7" x14ac:dyDescent="0.25">
      <c r="B25" s="11" t="s">
        <v>5</v>
      </c>
      <c r="C25" s="19">
        <v>4383</v>
      </c>
      <c r="D25" s="19">
        <v>4428</v>
      </c>
      <c r="E25" s="9">
        <f>AVERAGE(C25:D25)</f>
        <v>4405.5</v>
      </c>
      <c r="F25" s="278">
        <f>Table24[[#This Row],[Column5]]/$G$17</f>
        <v>3.9156626506024098E-2</v>
      </c>
      <c r="G25">
        <v>13</v>
      </c>
    </row>
    <row r="26" spans="2:7" x14ac:dyDescent="0.25">
      <c r="B26" s="11" t="s">
        <v>8</v>
      </c>
      <c r="C26" s="18">
        <v>2500</v>
      </c>
      <c r="D26" s="18">
        <v>3500</v>
      </c>
      <c r="E26" s="9">
        <f>AVERAGE(C26:D26)</f>
        <v>3000</v>
      </c>
      <c r="F26" s="278">
        <f>Table24[[#This Row],[Column5]]/$G$17</f>
        <v>1.2048192771084338E-2</v>
      </c>
      <c r="G26">
        <v>4</v>
      </c>
    </row>
    <row r="27" spans="2:7" x14ac:dyDescent="0.25">
      <c r="B27" s="7" t="s">
        <v>3</v>
      </c>
      <c r="C27" s="18">
        <v>27000</v>
      </c>
      <c r="D27" s="18">
        <v>2000</v>
      </c>
      <c r="E27" s="9">
        <f>AVERAGE(C27:D27)</f>
        <v>14500</v>
      </c>
      <c r="F27" s="278">
        <f>Table24[[#This Row],[Column5]]/$G$17</f>
        <v>9.0361445783132526E-3</v>
      </c>
      <c r="G27">
        <v>3</v>
      </c>
    </row>
    <row r="28" spans="2:7" x14ac:dyDescent="0.25">
      <c r="B28" s="11" t="s">
        <v>18</v>
      </c>
      <c r="C28" s="21"/>
      <c r="D28" s="21">
        <v>8500</v>
      </c>
      <c r="E28" s="16">
        <f>AVERAGE(D28,C28)</f>
        <v>8500</v>
      </c>
      <c r="F28" s="278">
        <f>Table24[[#This Row],[Column5]]/$G$17</f>
        <v>6.024096385542169E-3</v>
      </c>
      <c r="G28">
        <v>2</v>
      </c>
    </row>
    <row r="29" spans="2:7" x14ac:dyDescent="0.25">
      <c r="B29" s="7" t="s">
        <v>6</v>
      </c>
      <c r="C29" s="20">
        <v>8000</v>
      </c>
      <c r="D29" s="20"/>
      <c r="E29" s="9">
        <f t="shared" ref="E29" si="1">AVERAGE(C29:D29)</f>
        <v>8000</v>
      </c>
      <c r="F29" s="278">
        <f>Table24[[#This Row],[Column5]]/$G$17</f>
        <v>3.0120481927710845E-3</v>
      </c>
      <c r="G29">
        <v>1</v>
      </c>
    </row>
    <row r="30" spans="2:7" x14ac:dyDescent="0.25">
      <c r="B30" s="5" t="s">
        <v>7</v>
      </c>
      <c r="C30" s="6">
        <f>AVERAGE(C23:C29)</f>
        <v>9425.1666666666661</v>
      </c>
      <c r="D30" s="6">
        <f>AVERAGE(D23:D29)</f>
        <v>4502.166666666667</v>
      </c>
      <c r="E30" s="6">
        <f>AVERAGE(E23:E29)</f>
        <v>7147.4285714285716</v>
      </c>
      <c r="F30" s="14">
        <f>Table24[[#This Row],[Column5]]/$G$17</f>
        <v>1</v>
      </c>
      <c r="G30">
        <f>SUM(G23:G29)</f>
        <v>332</v>
      </c>
    </row>
    <row r="31" spans="2:7" x14ac:dyDescent="0.25"/>
    <row r="32" spans="2:7" x14ac:dyDescent="0.25"/>
    <row r="33" spans="1:7" ht="17.25" x14ac:dyDescent="0.25">
      <c r="A33" t="s">
        <v>38</v>
      </c>
      <c r="B33" s="193" t="s">
        <v>22</v>
      </c>
      <c r="C33" s="193"/>
      <c r="D33" s="193"/>
      <c r="E33" s="193"/>
      <c r="F33" s="193"/>
      <c r="G33" s="193"/>
    </row>
    <row r="34" spans="1:7" x14ac:dyDescent="0.25"/>
    <row r="35" spans="1:7" x14ac:dyDescent="0.25"/>
    <row r="36" spans="1:7" ht="15.75" thickBot="1" x14ac:dyDescent="0.3">
      <c r="B36" s="204" t="s">
        <v>34</v>
      </c>
      <c r="C36" s="204"/>
      <c r="D36" s="204"/>
    </row>
    <row r="37" spans="1:7" ht="16.5" thickTop="1" thickBot="1" x14ac:dyDescent="0.3">
      <c r="B37" s="195" t="s">
        <v>2</v>
      </c>
      <c r="C37" s="197" t="s">
        <v>32</v>
      </c>
      <c r="D37" s="198"/>
      <c r="E37" s="205" t="s">
        <v>29</v>
      </c>
      <c r="F37" s="202" t="s">
        <v>16</v>
      </c>
    </row>
    <row r="38" spans="1:7" ht="16.5" thickTop="1" thickBot="1" x14ac:dyDescent="0.3">
      <c r="B38" s="196"/>
      <c r="C38" s="42" t="s">
        <v>24</v>
      </c>
      <c r="D38" s="43" t="s">
        <v>25</v>
      </c>
      <c r="E38" s="205"/>
      <c r="F38" s="203"/>
      <c r="G38" s="41"/>
    </row>
    <row r="39" spans="1:7" ht="15.75" hidden="1" thickTop="1" x14ac:dyDescent="0.25">
      <c r="B39" s="1" t="s">
        <v>9</v>
      </c>
      <c r="C39" s="2" t="s">
        <v>10</v>
      </c>
      <c r="D39" s="24" t="s">
        <v>11</v>
      </c>
      <c r="E39" s="13" t="s">
        <v>15</v>
      </c>
      <c r="F39" t="s">
        <v>13</v>
      </c>
      <c r="G39" s="41"/>
    </row>
    <row r="40" spans="1:7" ht="15.75" thickTop="1" x14ac:dyDescent="0.25">
      <c r="A40" s="35"/>
      <c r="B40" s="33" t="s">
        <v>1</v>
      </c>
      <c r="C40" s="25">
        <v>9</v>
      </c>
      <c r="D40" s="25">
        <v>49</v>
      </c>
      <c r="E40" s="279">
        <v>0.61099999999999999</v>
      </c>
      <c r="F40" s="29">
        <v>58</v>
      </c>
      <c r="G40" s="41"/>
    </row>
    <row r="41" spans="1:7" x14ac:dyDescent="0.25">
      <c r="A41" s="35"/>
      <c r="B41" s="33" t="s">
        <v>4</v>
      </c>
      <c r="C41" s="30">
        <v>1</v>
      </c>
      <c r="D41" s="30">
        <v>27</v>
      </c>
      <c r="E41" s="279">
        <v>0.29499999999999998</v>
      </c>
      <c r="F41" s="29">
        <v>28</v>
      </c>
      <c r="G41" s="41"/>
    </row>
    <row r="42" spans="1:7" x14ac:dyDescent="0.25">
      <c r="A42" s="35"/>
      <c r="B42" s="33" t="s">
        <v>3</v>
      </c>
      <c r="C42" s="25">
        <v>1</v>
      </c>
      <c r="D42" s="25">
        <v>5</v>
      </c>
      <c r="E42" s="279">
        <v>6.3E-2</v>
      </c>
      <c r="F42" s="29">
        <v>6</v>
      </c>
      <c r="G42" s="41"/>
    </row>
    <row r="43" spans="1:7" x14ac:dyDescent="0.25">
      <c r="A43" s="35"/>
      <c r="B43" s="33" t="s">
        <v>5</v>
      </c>
      <c r="C43" s="25"/>
      <c r="D43" s="25">
        <v>2</v>
      </c>
      <c r="E43" s="279">
        <v>2.1000000000000001E-2</v>
      </c>
      <c r="F43" s="29">
        <v>2</v>
      </c>
      <c r="G43" s="41"/>
    </row>
    <row r="44" spans="1:7" x14ac:dyDescent="0.25">
      <c r="A44" s="35"/>
      <c r="B44" s="33" t="s">
        <v>6</v>
      </c>
      <c r="C44" s="30">
        <v>1</v>
      </c>
      <c r="D44" s="30"/>
      <c r="E44" s="279">
        <v>0.01</v>
      </c>
      <c r="F44" s="29">
        <v>1</v>
      </c>
      <c r="G44" s="41"/>
    </row>
    <row r="45" spans="1:7" ht="15.75" thickBot="1" x14ac:dyDescent="0.3">
      <c r="A45" s="35"/>
      <c r="B45" s="36" t="s">
        <v>28</v>
      </c>
      <c r="C45" s="37">
        <f>SUM(C40:C44)</f>
        <v>12</v>
      </c>
      <c r="D45" s="37">
        <f>SUM(D40:D44)</f>
        <v>83</v>
      </c>
      <c r="E45" s="38">
        <f>SUM(E40:E44)</f>
        <v>0.99999999999999989</v>
      </c>
      <c r="F45" s="40">
        <f>SUM(F40:F44)</f>
        <v>95</v>
      </c>
      <c r="G45" s="41"/>
    </row>
    <row r="46" spans="1:7" ht="15.75" thickTop="1" x14ac:dyDescent="0.25"/>
    <row r="47" spans="1:7" ht="15.75" thickBot="1" x14ac:dyDescent="0.3">
      <c r="B47" s="194" t="s">
        <v>35</v>
      </c>
      <c r="C47" s="194"/>
      <c r="D47" s="194"/>
    </row>
    <row r="48" spans="1:7" ht="16.5" thickTop="1" thickBot="1" x14ac:dyDescent="0.3">
      <c r="B48" s="195" t="s">
        <v>2</v>
      </c>
      <c r="C48" s="197" t="s">
        <v>30</v>
      </c>
      <c r="D48" s="198"/>
      <c r="E48" s="199" t="s">
        <v>29</v>
      </c>
      <c r="F48" s="201" t="s">
        <v>16</v>
      </c>
    </row>
    <row r="49" spans="1:6" ht="16.5" thickTop="1" thickBot="1" x14ac:dyDescent="0.3">
      <c r="B49" s="196"/>
      <c r="C49" s="42" t="s">
        <v>31</v>
      </c>
      <c r="D49" s="31" t="s">
        <v>27</v>
      </c>
      <c r="E49" s="200"/>
      <c r="F49" s="201"/>
    </row>
    <row r="50" spans="1:6" ht="15.75" hidden="1" thickTop="1" x14ac:dyDescent="0.25">
      <c r="B50" s="1" t="s">
        <v>9</v>
      </c>
      <c r="C50" s="2" t="s">
        <v>10</v>
      </c>
      <c r="D50" s="24" t="s">
        <v>11</v>
      </c>
      <c r="E50" s="13" t="s">
        <v>15</v>
      </c>
      <c r="F50" t="s">
        <v>13</v>
      </c>
    </row>
    <row r="51" spans="1:6" ht="15.75" thickTop="1" x14ac:dyDescent="0.25">
      <c r="A51" s="35"/>
      <c r="B51" s="33" t="s">
        <v>1</v>
      </c>
      <c r="C51" s="25">
        <v>53</v>
      </c>
      <c r="D51" s="25">
        <v>5</v>
      </c>
      <c r="E51" s="279">
        <v>0.61099999999999999</v>
      </c>
      <c r="F51" s="32">
        <f>Table242789[[#This Row],[Column2]]+Table242789[[#This Row],[Column3]]</f>
        <v>58</v>
      </c>
    </row>
    <row r="52" spans="1:6" x14ac:dyDescent="0.25">
      <c r="A52" s="35"/>
      <c r="B52" s="33" t="s">
        <v>4</v>
      </c>
      <c r="C52" s="30">
        <v>27</v>
      </c>
      <c r="D52" s="30">
        <v>1</v>
      </c>
      <c r="E52" s="279">
        <v>0.29499999999999998</v>
      </c>
      <c r="F52" s="32">
        <f>Table242789[[#This Row],[Column2]]+Table242789[[#This Row],[Column3]]</f>
        <v>28</v>
      </c>
    </row>
    <row r="53" spans="1:6" x14ac:dyDescent="0.25">
      <c r="A53" s="35"/>
      <c r="B53" s="33" t="s">
        <v>3</v>
      </c>
      <c r="C53" s="25">
        <v>5</v>
      </c>
      <c r="D53" s="25">
        <v>1</v>
      </c>
      <c r="E53" s="279">
        <v>6.3E-2</v>
      </c>
      <c r="F53" s="32">
        <f>Table242789[[#This Row],[Column2]]+Table242789[[#This Row],[Column3]]</f>
        <v>6</v>
      </c>
    </row>
    <row r="54" spans="1:6" x14ac:dyDescent="0.25">
      <c r="A54" s="35"/>
      <c r="B54" s="33" t="s">
        <v>5</v>
      </c>
      <c r="C54" s="25">
        <v>2</v>
      </c>
      <c r="D54" s="25">
        <v>0</v>
      </c>
      <c r="E54" s="279">
        <v>2.1000000000000001E-2</v>
      </c>
      <c r="F54" s="32">
        <f>Table242789[[#This Row],[Column2]]+Table242789[[#This Row],[Column3]]</f>
        <v>2</v>
      </c>
    </row>
    <row r="55" spans="1:6" x14ac:dyDescent="0.25">
      <c r="A55" s="35"/>
      <c r="B55" s="33" t="s">
        <v>6</v>
      </c>
      <c r="C55" s="30">
        <v>1</v>
      </c>
      <c r="D55" s="30">
        <v>0</v>
      </c>
      <c r="E55" s="279">
        <v>0.01</v>
      </c>
      <c r="F55" s="32">
        <f>Table242789[[#This Row],[Column2]]+Table242789[[#This Row],[Column3]]</f>
        <v>1</v>
      </c>
    </row>
    <row r="56" spans="1:6" ht="15.75" thickBot="1" x14ac:dyDescent="0.3">
      <c r="A56" s="35"/>
      <c r="B56" s="36" t="s">
        <v>28</v>
      </c>
      <c r="C56" s="37">
        <f>SUM(C51:C55)</f>
        <v>88</v>
      </c>
      <c r="D56" s="37">
        <f>SUM(D51:D55)</f>
        <v>7</v>
      </c>
      <c r="E56" s="38">
        <f>SUM(E51:E55)</f>
        <v>0.99999999999999989</v>
      </c>
      <c r="F56" s="39">
        <f>Table242789[[#This Row],[Column2]]+Table242789[[#This Row],[Column3]]</f>
        <v>95</v>
      </c>
    </row>
    <row r="57" spans="1:6" ht="15.75" thickTop="1" x14ac:dyDescent="0.25"/>
    <row r="58" spans="1:6" x14ac:dyDescent="0.25"/>
    <row r="59" spans="1:6" ht="17.25" x14ac:dyDescent="0.25">
      <c r="A59" t="s">
        <v>39</v>
      </c>
      <c r="B59" s="193" t="s">
        <v>36</v>
      </c>
      <c r="C59" s="193"/>
      <c r="D59" s="193"/>
      <c r="E59" s="193"/>
      <c r="F59" s="193"/>
    </row>
    <row r="60" spans="1:6" x14ac:dyDescent="0.25"/>
    <row r="61" spans="1:6" ht="15.75" thickBot="1" x14ac:dyDescent="0.3">
      <c r="B61" s="194" t="s">
        <v>34</v>
      </c>
      <c r="C61" s="194"/>
      <c r="D61" s="194"/>
    </row>
    <row r="62" spans="1:6" ht="16.5" thickTop="1" thickBot="1" x14ac:dyDescent="0.3">
      <c r="B62" s="195" t="s">
        <v>62</v>
      </c>
      <c r="C62" s="197" t="s">
        <v>30</v>
      </c>
      <c r="D62" s="198"/>
      <c r="E62" s="199" t="s">
        <v>29</v>
      </c>
      <c r="F62" s="201" t="s">
        <v>16</v>
      </c>
    </row>
    <row r="63" spans="1:6" ht="16.5" thickTop="1" thickBot="1" x14ac:dyDescent="0.3">
      <c r="B63" s="196"/>
      <c r="C63" s="42" t="s">
        <v>40</v>
      </c>
      <c r="D63" s="31" t="s">
        <v>25</v>
      </c>
      <c r="E63" s="200"/>
      <c r="F63" s="201"/>
    </row>
    <row r="64" spans="1:6" ht="15.75" hidden="1" thickTop="1" x14ac:dyDescent="0.25">
      <c r="B64" s="1" t="s">
        <v>9</v>
      </c>
      <c r="C64" s="2" t="s">
        <v>10</v>
      </c>
      <c r="D64" s="24" t="s">
        <v>11</v>
      </c>
      <c r="E64" s="13" t="s">
        <v>15</v>
      </c>
      <c r="F64" t="s">
        <v>13</v>
      </c>
    </row>
    <row r="65" spans="2:9" ht="15.75" thickTop="1" x14ac:dyDescent="0.25">
      <c r="B65" s="33" t="s">
        <v>43</v>
      </c>
      <c r="C65" s="25">
        <v>28</v>
      </c>
      <c r="D65" s="25">
        <v>201</v>
      </c>
      <c r="E65" s="279">
        <v>0.157</v>
      </c>
      <c r="F65" s="47">
        <f>Table24278910[[#This Row],[Column2]]+Table24278910[[#This Row],[Column3]]</f>
        <v>229</v>
      </c>
      <c r="I65" s="48"/>
    </row>
    <row r="66" spans="2:9" x14ac:dyDescent="0.25">
      <c r="B66" s="33" t="s">
        <v>42</v>
      </c>
      <c r="C66" s="30">
        <v>30</v>
      </c>
      <c r="D66" s="30">
        <v>186</v>
      </c>
      <c r="E66" s="279">
        <v>0.14799999999999999</v>
      </c>
      <c r="F66" s="47">
        <f>Table24278910[[#This Row],[Column2]]+Table24278910[[#This Row],[Column3]]</f>
        <v>216</v>
      </c>
      <c r="I66" s="48"/>
    </row>
    <row r="67" spans="2:9" x14ac:dyDescent="0.25">
      <c r="B67" s="33" t="s">
        <v>44</v>
      </c>
      <c r="C67" s="30">
        <v>22</v>
      </c>
      <c r="D67" s="30">
        <v>147</v>
      </c>
      <c r="E67" s="279">
        <v>0.11600000000000001</v>
      </c>
      <c r="F67" s="47">
        <f>Table24278910[[#This Row],[Column2]]+Table24278910[[#This Row],[Column3]]</f>
        <v>169</v>
      </c>
      <c r="I67" s="48"/>
    </row>
    <row r="68" spans="2:9" x14ac:dyDescent="0.25">
      <c r="B68" s="27" t="s">
        <v>51</v>
      </c>
      <c r="C68" s="26">
        <v>17</v>
      </c>
      <c r="D68" s="26">
        <v>151</v>
      </c>
      <c r="E68" s="279">
        <v>0.115</v>
      </c>
      <c r="F68" s="47">
        <f>Table24278910[[#This Row],[Column2]]+Table24278910[[#This Row],[Column3]]</f>
        <v>168</v>
      </c>
      <c r="I68" s="48"/>
    </row>
    <row r="69" spans="2:9" x14ac:dyDescent="0.25">
      <c r="B69" s="27" t="s">
        <v>52</v>
      </c>
      <c r="C69" s="26">
        <v>16</v>
      </c>
      <c r="D69" s="26">
        <v>106</v>
      </c>
      <c r="E69" s="279">
        <v>8.3000000000000004E-2</v>
      </c>
      <c r="F69" s="47">
        <f>Table24278910[[#This Row],[Column2]]+Table24278910[[#This Row],[Column3]]</f>
        <v>122</v>
      </c>
      <c r="I69" s="48"/>
    </row>
    <row r="70" spans="2:9" x14ac:dyDescent="0.25">
      <c r="B70" s="27" t="s">
        <v>49</v>
      </c>
      <c r="C70" s="26">
        <v>14</v>
      </c>
      <c r="D70" s="26">
        <v>101</v>
      </c>
      <c r="E70" s="279">
        <v>7.9000000000000001E-2</v>
      </c>
      <c r="F70" s="47">
        <f>Table24278910[[#This Row],[Column2]]+Table24278910[[#This Row],[Column3]]</f>
        <v>115</v>
      </c>
      <c r="I70" s="48"/>
    </row>
    <row r="71" spans="2:9" x14ac:dyDescent="0.25">
      <c r="B71" s="27" t="s">
        <v>57</v>
      </c>
      <c r="C71" s="26">
        <v>11</v>
      </c>
      <c r="D71" s="26">
        <v>75</v>
      </c>
      <c r="E71" s="279">
        <v>5.8999999999999997E-2</v>
      </c>
      <c r="F71" s="47">
        <f>Table24278910[[#This Row],[Column2]]+Table24278910[[#This Row],[Column3]]</f>
        <v>86</v>
      </c>
      <c r="I71" s="48"/>
    </row>
    <row r="72" spans="2:9" x14ac:dyDescent="0.25">
      <c r="B72" s="27" t="s">
        <v>53</v>
      </c>
      <c r="C72" s="26">
        <v>7</v>
      </c>
      <c r="D72" s="26">
        <v>70</v>
      </c>
      <c r="E72" s="279">
        <v>5.2999999999999999E-2</v>
      </c>
      <c r="F72" s="47">
        <f>Table24278910[[#This Row],[Column2]]+Table24278910[[#This Row],[Column3]]</f>
        <v>77</v>
      </c>
      <c r="I72" s="48"/>
    </row>
    <row r="73" spans="2:9" x14ac:dyDescent="0.25">
      <c r="B73" s="27" t="s">
        <v>56</v>
      </c>
      <c r="C73" s="26">
        <v>10</v>
      </c>
      <c r="D73" s="26">
        <v>66</v>
      </c>
      <c r="E73" s="279">
        <v>5.1999999999999998E-2</v>
      </c>
      <c r="F73" s="47">
        <f>Table24278910[[#This Row],[Column2]]+Table24278910[[#This Row],[Column3]]</f>
        <v>76</v>
      </c>
      <c r="I73" s="48"/>
    </row>
    <row r="74" spans="2:9" x14ac:dyDescent="0.25">
      <c r="B74" s="27" t="s">
        <v>48</v>
      </c>
      <c r="C74" s="26">
        <v>8</v>
      </c>
      <c r="D74" s="26">
        <v>60</v>
      </c>
      <c r="E74" s="279">
        <v>4.5999999999999999E-2</v>
      </c>
      <c r="F74" s="47">
        <f>Table24278910[[#This Row],[Column2]]+Table24278910[[#This Row],[Column3]]</f>
        <v>68</v>
      </c>
      <c r="I74" s="48"/>
    </row>
    <row r="75" spans="2:9" x14ac:dyDescent="0.25">
      <c r="B75" s="33" t="s">
        <v>41</v>
      </c>
      <c r="C75" s="25">
        <v>5</v>
      </c>
      <c r="D75" s="25">
        <v>30</v>
      </c>
      <c r="E75" s="279">
        <v>2.4E-2</v>
      </c>
      <c r="F75" s="47">
        <f>Table24278910[[#This Row],[Column2]]+Table24278910[[#This Row],[Column3]]</f>
        <v>35</v>
      </c>
      <c r="I75" s="48"/>
    </row>
    <row r="76" spans="2:9" x14ac:dyDescent="0.25">
      <c r="B76" s="27" t="s">
        <v>58</v>
      </c>
      <c r="C76" s="26">
        <v>2</v>
      </c>
      <c r="D76" s="26">
        <v>23</v>
      </c>
      <c r="E76" s="279">
        <v>1.7000000000000001E-2</v>
      </c>
      <c r="F76" s="47">
        <f>Table24278910[[#This Row],[Column2]]+Table24278910[[#This Row],[Column3]]</f>
        <v>25</v>
      </c>
      <c r="I76" s="48"/>
    </row>
    <row r="77" spans="2:9" x14ac:dyDescent="0.25">
      <c r="B77" s="27" t="s">
        <v>59</v>
      </c>
      <c r="C77" s="26">
        <v>5</v>
      </c>
      <c r="D77" s="26">
        <v>14</v>
      </c>
      <c r="E77" s="279">
        <v>1.2999999999999999E-2</v>
      </c>
      <c r="F77" s="47">
        <f>Table24278910[[#This Row],[Column2]]+Table24278910[[#This Row],[Column3]]</f>
        <v>19</v>
      </c>
      <c r="I77" s="48"/>
    </row>
    <row r="78" spans="2:9" x14ac:dyDescent="0.25">
      <c r="B78" s="27" t="s">
        <v>54</v>
      </c>
      <c r="C78" s="26">
        <v>4</v>
      </c>
      <c r="D78" s="26">
        <v>14</v>
      </c>
      <c r="E78" s="279">
        <v>1.2E-2</v>
      </c>
      <c r="F78" s="47">
        <f>Table24278910[[#This Row],[Column2]]+Table24278910[[#This Row],[Column3]]</f>
        <v>18</v>
      </c>
      <c r="I78" s="48"/>
    </row>
    <row r="79" spans="2:9" x14ac:dyDescent="0.25">
      <c r="B79" s="33" t="s">
        <v>46</v>
      </c>
      <c r="C79" s="26">
        <v>1</v>
      </c>
      <c r="D79" s="26">
        <v>12</v>
      </c>
      <c r="E79" s="279">
        <v>8.9999999999999993E-3</v>
      </c>
      <c r="F79" s="47">
        <f>Table24278910[[#This Row],[Column2]]+Table24278910[[#This Row],[Column3]]</f>
        <v>13</v>
      </c>
      <c r="I79" s="48"/>
    </row>
    <row r="80" spans="2:9" ht="45" x14ac:dyDescent="0.25">
      <c r="B80" s="45" t="s">
        <v>45</v>
      </c>
      <c r="C80" s="26">
        <v>0</v>
      </c>
      <c r="D80" s="26">
        <v>12</v>
      </c>
      <c r="E80" s="279">
        <v>8.0000000000000002E-3</v>
      </c>
      <c r="F80" s="47">
        <f>Table24278910[[#This Row],[Column2]]+Table24278910[[#This Row],[Column3]]</f>
        <v>12</v>
      </c>
      <c r="I80" s="48"/>
    </row>
    <row r="81" spans="2:9" x14ac:dyDescent="0.25">
      <c r="B81" s="27" t="s">
        <v>50</v>
      </c>
      <c r="C81" s="26">
        <v>1</v>
      </c>
      <c r="D81" s="26">
        <v>5</v>
      </c>
      <c r="E81" s="279">
        <v>4.0000000000000001E-3</v>
      </c>
      <c r="F81" s="47">
        <f>Table24278910[[#This Row],[Column2]]+Table24278910[[#This Row],[Column3]]</f>
        <v>6</v>
      </c>
      <c r="I81" s="48"/>
    </row>
    <row r="82" spans="2:9" x14ac:dyDescent="0.25">
      <c r="B82" s="27" t="s">
        <v>47</v>
      </c>
      <c r="C82" s="26">
        <v>4</v>
      </c>
      <c r="D82" s="26">
        <v>1</v>
      </c>
      <c r="E82" s="279">
        <v>3.0000000000000001E-3</v>
      </c>
      <c r="F82" s="47">
        <f>Table24278910[[#This Row],[Column2]]+Table24278910[[#This Row],[Column3]]</f>
        <v>5</v>
      </c>
      <c r="I82" s="48"/>
    </row>
    <row r="83" spans="2:9" x14ac:dyDescent="0.25">
      <c r="B83" s="27" t="s">
        <v>55</v>
      </c>
      <c r="C83" s="26">
        <v>0</v>
      </c>
      <c r="D83" s="26">
        <v>4</v>
      </c>
      <c r="E83" s="279">
        <v>3.0000000000000001E-3</v>
      </c>
      <c r="F83" s="47">
        <f>Table24278910[[#This Row],[Column2]]+Table24278910[[#This Row],[Column3]]</f>
        <v>4</v>
      </c>
      <c r="I83" s="48"/>
    </row>
    <row r="84" spans="2:9" ht="15.75" thickBot="1" x14ac:dyDescent="0.3">
      <c r="B84" s="36" t="s">
        <v>28</v>
      </c>
      <c r="C84" s="37">
        <f>SUM(C75:C83)</f>
        <v>22</v>
      </c>
      <c r="D84" s="37">
        <f>SUM(D75:D83)</f>
        <v>115</v>
      </c>
      <c r="E84" s="49">
        <v>1</v>
      </c>
      <c r="F84" s="39">
        <f>Table24278910[[#This Row],[Column2]]+Table24278910[[#This Row],[Column3]]</f>
        <v>137</v>
      </c>
      <c r="I84" s="48"/>
    </row>
    <row r="85" spans="2:9" ht="15.75" thickTop="1" x14ac:dyDescent="0.25"/>
    <row r="86" spans="2:9" x14ac:dyDescent="0.25"/>
    <row r="87" spans="2:9" x14ac:dyDescent="0.25"/>
    <row r="88" spans="2:9" x14ac:dyDescent="0.25"/>
    <row r="89" spans="2:9" x14ac:dyDescent="0.25"/>
    <row r="90" spans="2:9" x14ac:dyDescent="0.25"/>
    <row r="91" spans="2:9" x14ac:dyDescent="0.25"/>
    <row r="92" spans="2:9" x14ac:dyDescent="0.25"/>
    <row r="93" spans="2:9" x14ac:dyDescent="0.25"/>
    <row r="94" spans="2:9" x14ac:dyDescent="0.25"/>
    <row r="95" spans="2:9" x14ac:dyDescent="0.25"/>
    <row r="96" spans="2:9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</sheetData>
  <mergeCells count="29">
    <mergeCell ref="B4:F4"/>
    <mergeCell ref="B19:E19"/>
    <mergeCell ref="A2:I2"/>
    <mergeCell ref="B7:B8"/>
    <mergeCell ref="B20:B21"/>
    <mergeCell ref="B6:D6"/>
    <mergeCell ref="F7:F8"/>
    <mergeCell ref="C20:D20"/>
    <mergeCell ref="E20:E21"/>
    <mergeCell ref="F20:F21"/>
    <mergeCell ref="C7:D7"/>
    <mergeCell ref="E7:E8"/>
    <mergeCell ref="B36:D36"/>
    <mergeCell ref="B37:B38"/>
    <mergeCell ref="C37:D37"/>
    <mergeCell ref="E37:E38"/>
    <mergeCell ref="B33:G33"/>
    <mergeCell ref="B48:B49"/>
    <mergeCell ref="C48:D48"/>
    <mergeCell ref="E48:E49"/>
    <mergeCell ref="F37:F38"/>
    <mergeCell ref="F48:F49"/>
    <mergeCell ref="B47:D47"/>
    <mergeCell ref="B59:F59"/>
    <mergeCell ref="B61:D61"/>
    <mergeCell ref="B62:B63"/>
    <mergeCell ref="C62:D62"/>
    <mergeCell ref="E62:E63"/>
    <mergeCell ref="F62:F63"/>
  </mergeCells>
  <pageMargins left="0.7" right="0.7" top="0.75" bottom="0.75" header="0.3" footer="0.3"/>
  <pageSetup orientation="portrait" r:id="rId1"/>
  <drawing r:id="rId2"/>
  <legacyDrawing r:id="rId3"/>
  <tableParts count="5">
    <tablePart r:id="rId4"/>
    <tablePart r:id="rId5"/>
    <tablePart r:id="rId6"/>
    <tablePart r:id="rId7"/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E24"/>
  <sheetViews>
    <sheetView topLeftCell="A11" workbookViewId="0">
      <selection activeCell="D26" sqref="D26"/>
    </sheetView>
  </sheetViews>
  <sheetFormatPr defaultRowHeight="15" x14ac:dyDescent="0.25"/>
  <cols>
    <col min="4" max="4" width="33.28515625" customWidth="1"/>
  </cols>
  <sheetData>
    <row r="3" spans="4:5" ht="15.75" thickBot="1" x14ac:dyDescent="0.3"/>
    <row r="4" spans="4:5" ht="16.5" customHeight="1" thickTop="1" x14ac:dyDescent="0.25">
      <c r="D4" s="195" t="s">
        <v>62</v>
      </c>
      <c r="E4" s="199" t="s">
        <v>29</v>
      </c>
    </row>
    <row r="5" spans="4:5" ht="15.75" thickBot="1" x14ac:dyDescent="0.3">
      <c r="D5" s="196"/>
      <c r="E5" s="200"/>
    </row>
    <row r="6" spans="4:5" ht="15.75" thickTop="1" x14ac:dyDescent="0.25">
      <c r="D6" s="33" t="s">
        <v>41</v>
      </c>
      <c r="E6" s="28">
        <v>2.4E-2</v>
      </c>
    </row>
    <row r="7" spans="4:5" x14ac:dyDescent="0.25">
      <c r="D7" s="33" t="s">
        <v>42</v>
      </c>
      <c r="E7" s="28">
        <v>0.14799999999999999</v>
      </c>
    </row>
    <row r="8" spans="4:5" x14ac:dyDescent="0.25">
      <c r="D8" s="33" t="s">
        <v>43</v>
      </c>
      <c r="E8" s="28">
        <v>0.157</v>
      </c>
    </row>
    <row r="9" spans="4:5" x14ac:dyDescent="0.25">
      <c r="D9" s="33" t="s">
        <v>44</v>
      </c>
      <c r="E9" s="28">
        <v>0.11600000000000001</v>
      </c>
    </row>
    <row r="10" spans="4:5" ht="33.75" customHeight="1" x14ac:dyDescent="0.25">
      <c r="D10" s="45" t="s">
        <v>45</v>
      </c>
      <c r="E10" s="28">
        <v>8.0000000000000002E-3</v>
      </c>
    </row>
    <row r="11" spans="4:5" x14ac:dyDescent="0.25">
      <c r="D11" s="33" t="s">
        <v>46</v>
      </c>
      <c r="E11" s="28">
        <v>8.9999999999999993E-3</v>
      </c>
    </row>
    <row r="12" spans="4:5" x14ac:dyDescent="0.25">
      <c r="D12" s="27" t="s">
        <v>47</v>
      </c>
      <c r="E12" s="28">
        <v>3.0000000000000001E-3</v>
      </c>
    </row>
    <row r="13" spans="4:5" x14ac:dyDescent="0.25">
      <c r="D13" s="27" t="s">
        <v>48</v>
      </c>
      <c r="E13" s="28">
        <v>4.5999999999999999E-2</v>
      </c>
    </row>
    <row r="14" spans="4:5" x14ac:dyDescent="0.25">
      <c r="D14" s="27" t="s">
        <v>49</v>
      </c>
      <c r="E14" s="28">
        <v>7.9000000000000001E-2</v>
      </c>
    </row>
    <row r="15" spans="4:5" x14ac:dyDescent="0.25">
      <c r="D15" s="27" t="s">
        <v>50</v>
      </c>
      <c r="E15" s="28">
        <v>4.0000000000000001E-3</v>
      </c>
    </row>
    <row r="16" spans="4:5" x14ac:dyDescent="0.25">
      <c r="D16" s="27" t="s">
        <v>51</v>
      </c>
      <c r="E16" s="28">
        <v>0.115</v>
      </c>
    </row>
    <row r="17" spans="4:5" x14ac:dyDescent="0.25">
      <c r="D17" s="27" t="s">
        <v>52</v>
      </c>
      <c r="E17" s="28">
        <v>8.3000000000000004E-2</v>
      </c>
    </row>
    <row r="18" spans="4:5" x14ac:dyDescent="0.25">
      <c r="D18" s="27" t="s">
        <v>53</v>
      </c>
      <c r="E18" s="28">
        <v>5.2999999999999999E-2</v>
      </c>
    </row>
    <row r="19" spans="4:5" x14ac:dyDescent="0.25">
      <c r="D19" s="27" t="s">
        <v>54</v>
      </c>
      <c r="E19" s="28">
        <v>1.2E-2</v>
      </c>
    </row>
    <row r="20" spans="4:5" x14ac:dyDescent="0.25">
      <c r="D20" s="27" t="s">
        <v>55</v>
      </c>
      <c r="E20" s="28">
        <v>3.0000000000000001E-3</v>
      </c>
    </row>
    <row r="21" spans="4:5" x14ac:dyDescent="0.25">
      <c r="D21" s="27" t="s">
        <v>56</v>
      </c>
      <c r="E21" s="28">
        <v>5.1999999999999998E-2</v>
      </c>
    </row>
    <row r="22" spans="4:5" x14ac:dyDescent="0.25">
      <c r="D22" s="27" t="s">
        <v>57</v>
      </c>
      <c r="E22" s="28">
        <v>5.8999999999999997E-2</v>
      </c>
    </row>
    <row r="23" spans="4:5" x14ac:dyDescent="0.25">
      <c r="D23" s="27" t="s">
        <v>58</v>
      </c>
      <c r="E23" s="28">
        <v>1.7000000000000001E-2</v>
      </c>
    </row>
    <row r="24" spans="4:5" x14ac:dyDescent="0.25">
      <c r="D24" s="27" t="s">
        <v>59</v>
      </c>
      <c r="E24" s="28">
        <v>1.2999999999999999E-2</v>
      </c>
    </row>
  </sheetData>
  <mergeCells count="2">
    <mergeCell ref="D4:D5"/>
    <mergeCell ref="E4:E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97"/>
  <sheetViews>
    <sheetView zoomScaleNormal="100" workbookViewId="0">
      <selection activeCell="I77" sqref="I77"/>
    </sheetView>
  </sheetViews>
  <sheetFormatPr defaultColWidth="0" defaultRowHeight="15" zeroHeight="1" x14ac:dyDescent="0.25"/>
  <cols>
    <col min="1" max="1" width="9.140625" customWidth="1"/>
    <col min="2" max="2" width="35.28515625" customWidth="1"/>
    <col min="3" max="3" width="21.140625" customWidth="1"/>
    <col min="4" max="4" width="15.5703125" customWidth="1"/>
    <col min="5" max="5" width="16.140625" customWidth="1"/>
    <col min="6" max="6" width="13.7109375" customWidth="1"/>
    <col min="7" max="10" width="9.140625" customWidth="1"/>
    <col min="11" max="16384" width="9.140625" hidden="1"/>
  </cols>
  <sheetData>
    <row r="1" spans="1:8" x14ac:dyDescent="0.25"/>
    <row r="2" spans="1:8" ht="18.75" x14ac:dyDescent="0.25">
      <c r="A2" s="221" t="s">
        <v>60</v>
      </c>
      <c r="B2" s="221"/>
      <c r="C2" s="221"/>
      <c r="D2" s="221"/>
      <c r="E2" s="221"/>
      <c r="F2" s="221"/>
      <c r="G2" s="221"/>
      <c r="H2" s="221"/>
    </row>
    <row r="3" spans="1:8" x14ac:dyDescent="0.25"/>
    <row r="4" spans="1:8" ht="15.75" x14ac:dyDescent="0.25">
      <c r="A4" t="s">
        <v>37</v>
      </c>
      <c r="B4" s="220" t="s">
        <v>61</v>
      </c>
      <c r="C4" s="220"/>
      <c r="D4" s="220"/>
      <c r="E4" s="220"/>
      <c r="F4" s="220"/>
      <c r="G4" s="220"/>
      <c r="H4" s="220"/>
    </row>
    <row r="5" spans="1:8" x14ac:dyDescent="0.25"/>
    <row r="6" spans="1:8" ht="15.75" thickBot="1" x14ac:dyDescent="0.3">
      <c r="B6" s="216" t="s">
        <v>34</v>
      </c>
      <c r="C6" s="216"/>
      <c r="D6" s="54"/>
      <c r="E6" s="54"/>
      <c r="F6" s="54"/>
    </row>
    <row r="7" spans="1:8" ht="16.5" thickTop="1" thickBot="1" x14ac:dyDescent="0.3">
      <c r="B7" s="217" t="s">
        <v>63</v>
      </c>
      <c r="C7" s="197" t="s">
        <v>32</v>
      </c>
      <c r="D7" s="198"/>
      <c r="E7" s="205" t="s">
        <v>29</v>
      </c>
      <c r="F7" s="202" t="s">
        <v>16</v>
      </c>
    </row>
    <row r="8" spans="1:8" ht="25.5" customHeight="1" thickTop="1" thickBot="1" x14ac:dyDescent="0.3">
      <c r="B8" s="196"/>
      <c r="C8" s="42" t="s">
        <v>24</v>
      </c>
      <c r="D8" s="43" t="s">
        <v>25</v>
      </c>
      <c r="E8" s="205"/>
      <c r="F8" s="203"/>
      <c r="G8" s="41"/>
    </row>
    <row r="9" spans="1:8" ht="15.75" hidden="1" thickTop="1" x14ac:dyDescent="0.25">
      <c r="B9" s="1" t="s">
        <v>9</v>
      </c>
      <c r="C9" s="2" t="s">
        <v>10</v>
      </c>
      <c r="D9" s="24" t="s">
        <v>11</v>
      </c>
      <c r="E9" s="13" t="s">
        <v>15</v>
      </c>
      <c r="F9" t="s">
        <v>13</v>
      </c>
      <c r="G9" s="41"/>
    </row>
    <row r="10" spans="1:8" ht="32.25" customHeight="1" thickTop="1" x14ac:dyDescent="0.25">
      <c r="A10" s="35"/>
      <c r="B10" s="33" t="s">
        <v>64</v>
      </c>
      <c r="C10" s="25">
        <v>17</v>
      </c>
      <c r="D10" s="25">
        <v>177</v>
      </c>
      <c r="E10" s="279">
        <v>0.60799999999999998</v>
      </c>
      <c r="F10" s="52">
        <f>SUM(Table2427811[[#This Row],[Column2]:[Column3]])</f>
        <v>194</v>
      </c>
      <c r="G10" s="51"/>
    </row>
    <row r="11" spans="1:8" ht="25.5" customHeight="1" x14ac:dyDescent="0.25">
      <c r="A11" s="35"/>
      <c r="B11" s="33" t="s">
        <v>65</v>
      </c>
      <c r="C11" s="53">
        <v>20</v>
      </c>
      <c r="D11" s="53">
        <v>105</v>
      </c>
      <c r="E11" s="280">
        <v>0.39200000000000002</v>
      </c>
      <c r="F11" s="52">
        <f>SUM(Table2427811[[#This Row],[Column2]:[Column3]])</f>
        <v>125</v>
      </c>
      <c r="G11" s="51"/>
    </row>
    <row r="12" spans="1:8" ht="31.5" customHeight="1" thickBot="1" x14ac:dyDescent="0.3">
      <c r="B12" s="36" t="s">
        <v>28</v>
      </c>
      <c r="C12" s="37">
        <f>SUM(C10:C11)</f>
        <v>37</v>
      </c>
      <c r="D12" s="37">
        <f>SUM(D10:D11)</f>
        <v>282</v>
      </c>
      <c r="E12" s="38">
        <f>SUM(E10:E11)</f>
        <v>1</v>
      </c>
      <c r="F12" s="40">
        <f>SUM(F10:F11)</f>
        <v>319</v>
      </c>
      <c r="G12" s="41"/>
    </row>
    <row r="13" spans="1:8" ht="15.75" thickTop="1" x14ac:dyDescent="0.25"/>
    <row r="14" spans="1:8" x14ac:dyDescent="0.25"/>
    <row r="15" spans="1:8" ht="15.75" thickBot="1" x14ac:dyDescent="0.3">
      <c r="B15" s="216" t="s">
        <v>35</v>
      </c>
      <c r="C15" s="216"/>
      <c r="D15" s="54"/>
      <c r="E15" s="54"/>
      <c r="F15" s="54"/>
    </row>
    <row r="16" spans="1:8" ht="16.5" thickTop="1" thickBot="1" x14ac:dyDescent="0.3">
      <c r="B16" s="217" t="s">
        <v>63</v>
      </c>
      <c r="C16" s="197" t="s">
        <v>66</v>
      </c>
      <c r="D16" s="198"/>
      <c r="E16" s="205" t="s">
        <v>29</v>
      </c>
      <c r="F16" s="202" t="s">
        <v>16</v>
      </c>
    </row>
    <row r="17" spans="1:7" ht="27" customHeight="1" thickTop="1" thickBot="1" x14ac:dyDescent="0.3">
      <c r="B17" s="196"/>
      <c r="C17" s="42" t="s">
        <v>26</v>
      </c>
      <c r="D17" s="43" t="s">
        <v>27</v>
      </c>
      <c r="E17" s="205"/>
      <c r="F17" s="203"/>
      <c r="G17" s="41"/>
    </row>
    <row r="18" spans="1:7" ht="15.75" hidden="1" thickTop="1" x14ac:dyDescent="0.25">
      <c r="B18" s="1" t="s">
        <v>9</v>
      </c>
      <c r="C18" s="2" t="s">
        <v>10</v>
      </c>
      <c r="D18" s="24" t="s">
        <v>11</v>
      </c>
      <c r="E18" s="13" t="s">
        <v>15</v>
      </c>
      <c r="F18" t="s">
        <v>13</v>
      </c>
      <c r="G18" s="41"/>
    </row>
    <row r="19" spans="1:7" ht="27.75" customHeight="1" thickTop="1" x14ac:dyDescent="0.25">
      <c r="A19" s="35"/>
      <c r="B19" s="33" t="s">
        <v>64</v>
      </c>
      <c r="C19" s="25">
        <v>194</v>
      </c>
      <c r="D19" s="25">
        <v>0</v>
      </c>
      <c r="E19" s="279">
        <v>0.59</v>
      </c>
      <c r="F19" s="55">
        <f>SUM(Table242781112[[#This Row],[Column2]:[Column3]])</f>
        <v>194</v>
      </c>
      <c r="G19" s="41"/>
    </row>
    <row r="20" spans="1:7" ht="22.5" customHeight="1" x14ac:dyDescent="0.25">
      <c r="A20" s="35"/>
      <c r="B20" s="33" t="s">
        <v>65</v>
      </c>
      <c r="C20" s="53">
        <v>119</v>
      </c>
      <c r="D20" s="53">
        <v>16</v>
      </c>
      <c r="E20" s="280">
        <v>0.41</v>
      </c>
      <c r="F20" s="55">
        <f>SUM(Table242781112[[#This Row],[Column2]:[Column3]])</f>
        <v>135</v>
      </c>
      <c r="G20" s="41"/>
    </row>
    <row r="21" spans="1:7" ht="21.75" customHeight="1" thickBot="1" x14ac:dyDescent="0.3">
      <c r="B21" s="36" t="s">
        <v>28</v>
      </c>
      <c r="C21" s="37">
        <f>SUM(C19:C20)</f>
        <v>313</v>
      </c>
      <c r="D21" s="37">
        <f>SUM(D19:D20)</f>
        <v>16</v>
      </c>
      <c r="E21" s="38">
        <f>SUM(E19:E20)</f>
        <v>1</v>
      </c>
      <c r="F21" s="40">
        <f>SUM(F19:F20)</f>
        <v>329</v>
      </c>
      <c r="G21" s="41"/>
    </row>
    <row r="22" spans="1:7" ht="15.75" thickTop="1" x14ac:dyDescent="0.25"/>
    <row r="23" spans="1:7" x14ac:dyDescent="0.25"/>
    <row r="24" spans="1:7" ht="15.75" thickBot="1" x14ac:dyDescent="0.3">
      <c r="B24" s="212" t="s">
        <v>34</v>
      </c>
      <c r="C24" s="212"/>
      <c r="D24" s="54"/>
      <c r="E24" s="54"/>
      <c r="F24" s="54"/>
    </row>
    <row r="25" spans="1:7" ht="16.5" thickTop="1" thickBot="1" x14ac:dyDescent="0.3">
      <c r="B25" s="217" t="s">
        <v>67</v>
      </c>
      <c r="C25" s="197" t="s">
        <v>32</v>
      </c>
      <c r="D25" s="198"/>
      <c r="E25" s="205" t="s">
        <v>29</v>
      </c>
      <c r="F25" s="202" t="s">
        <v>16</v>
      </c>
    </row>
    <row r="26" spans="1:7" ht="26.25" customHeight="1" thickTop="1" thickBot="1" x14ac:dyDescent="0.3">
      <c r="B26" s="196"/>
      <c r="C26" s="42" t="s">
        <v>68</v>
      </c>
      <c r="D26" s="43" t="s">
        <v>25</v>
      </c>
      <c r="E26" s="205"/>
      <c r="F26" s="203"/>
      <c r="G26" s="41"/>
    </row>
    <row r="27" spans="1:7" ht="15.75" hidden="1" thickTop="1" x14ac:dyDescent="0.25">
      <c r="B27" s="1" t="s">
        <v>9</v>
      </c>
      <c r="C27" s="2" t="s">
        <v>10</v>
      </c>
      <c r="D27" s="24" t="s">
        <v>11</v>
      </c>
      <c r="E27" s="13" t="s">
        <v>15</v>
      </c>
      <c r="F27" t="s">
        <v>13</v>
      </c>
      <c r="G27" s="41"/>
    </row>
    <row r="28" spans="1:7" ht="24.75" customHeight="1" thickTop="1" x14ac:dyDescent="0.25">
      <c r="A28" s="35"/>
      <c r="B28" s="33" t="s">
        <v>64</v>
      </c>
      <c r="C28" s="25">
        <v>6</v>
      </c>
      <c r="D28" s="25">
        <v>108</v>
      </c>
      <c r="E28" s="279">
        <v>0.58499999999999996</v>
      </c>
      <c r="F28" s="55">
        <f>SUM(Table24278111213[[#This Row],[Column2]:[Column3]])</f>
        <v>114</v>
      </c>
      <c r="G28" s="41"/>
    </row>
    <row r="29" spans="1:7" ht="23.25" customHeight="1" x14ac:dyDescent="0.25">
      <c r="A29" s="35"/>
      <c r="B29" s="33" t="s">
        <v>65</v>
      </c>
      <c r="C29" s="53">
        <v>11</v>
      </c>
      <c r="D29" s="53">
        <v>70</v>
      </c>
      <c r="E29" s="280">
        <v>0.41499999999999998</v>
      </c>
      <c r="F29" s="55">
        <f>SUM(Table24278111213[[#This Row],[Column2]:[Column3]])</f>
        <v>81</v>
      </c>
      <c r="G29" s="41"/>
    </row>
    <row r="30" spans="1:7" ht="23.25" customHeight="1" thickBot="1" x14ac:dyDescent="0.3">
      <c r="B30" s="36" t="s">
        <v>28</v>
      </c>
      <c r="C30" s="37">
        <f>SUM(C28:C29)</f>
        <v>17</v>
      </c>
      <c r="D30" s="37">
        <f>SUM(D28:D29)</f>
        <v>178</v>
      </c>
      <c r="E30" s="38">
        <f>SUM(E28:E29)</f>
        <v>1</v>
      </c>
      <c r="F30" s="40">
        <f>SUM(F28:F29)</f>
        <v>195</v>
      </c>
      <c r="G30" s="41"/>
    </row>
    <row r="31" spans="1:7" ht="15.75" thickTop="1" x14ac:dyDescent="0.25"/>
    <row r="32" spans="1:7" x14ac:dyDescent="0.25"/>
    <row r="33" spans="1:8" ht="15.75" thickBot="1" x14ac:dyDescent="0.3">
      <c r="B33" s="212" t="s">
        <v>34</v>
      </c>
      <c r="C33" s="212"/>
      <c r="D33" s="54"/>
      <c r="E33" s="54"/>
      <c r="F33" s="54"/>
    </row>
    <row r="34" spans="1:8" ht="16.5" thickTop="1" thickBot="1" x14ac:dyDescent="0.3">
      <c r="B34" s="217" t="s">
        <v>69</v>
      </c>
      <c r="C34" s="197" t="s">
        <v>32</v>
      </c>
      <c r="D34" s="198"/>
      <c r="E34" s="205" t="s">
        <v>29</v>
      </c>
      <c r="F34" s="202" t="s">
        <v>16</v>
      </c>
    </row>
    <row r="35" spans="1:8" ht="16.5" thickTop="1" thickBot="1" x14ac:dyDescent="0.3">
      <c r="B35" s="196"/>
      <c r="C35" s="42" t="s">
        <v>68</v>
      </c>
      <c r="D35" s="43" t="s">
        <v>25</v>
      </c>
      <c r="E35" s="205"/>
      <c r="F35" s="211"/>
    </row>
    <row r="36" spans="1:8" ht="15.75" hidden="1" thickTop="1" x14ac:dyDescent="0.25">
      <c r="B36" s="1" t="s">
        <v>9</v>
      </c>
      <c r="C36" s="2" t="s">
        <v>10</v>
      </c>
      <c r="D36" s="24" t="s">
        <v>11</v>
      </c>
      <c r="E36" s="13" t="s">
        <v>15</v>
      </c>
      <c r="F36" s="56" t="s">
        <v>13</v>
      </c>
    </row>
    <row r="37" spans="1:8" ht="29.25" customHeight="1" thickTop="1" x14ac:dyDescent="0.25">
      <c r="A37" s="35"/>
      <c r="B37" s="33" t="s">
        <v>64</v>
      </c>
      <c r="C37" s="25">
        <v>6</v>
      </c>
      <c r="D37" s="25">
        <v>100</v>
      </c>
      <c r="E37" s="279">
        <v>0.89800000000000002</v>
      </c>
      <c r="F37" s="52">
        <f>SUM(Table2427811121314[[#This Row],[Column2]:[Column3]])</f>
        <v>106</v>
      </c>
    </row>
    <row r="38" spans="1:8" ht="25.5" customHeight="1" x14ac:dyDescent="0.25">
      <c r="A38" s="35"/>
      <c r="B38" s="33" t="s">
        <v>65</v>
      </c>
      <c r="C38" s="53">
        <v>1</v>
      </c>
      <c r="D38" s="53">
        <v>11</v>
      </c>
      <c r="E38" s="280">
        <v>0.10199999999999999</v>
      </c>
      <c r="F38" s="52">
        <f>SUM(Table2427811121314[[#This Row],[Column2]:[Column3]])</f>
        <v>12</v>
      </c>
    </row>
    <row r="39" spans="1:8" ht="27" customHeight="1" thickBot="1" x14ac:dyDescent="0.3">
      <c r="B39" s="36" t="s">
        <v>28</v>
      </c>
      <c r="C39" s="37">
        <f>SUM(C37:C38)</f>
        <v>7</v>
      </c>
      <c r="D39" s="37">
        <f>SUM(D37:D38)</f>
        <v>111</v>
      </c>
      <c r="E39" s="38">
        <f>SUM(E37:E38)</f>
        <v>1</v>
      </c>
      <c r="F39" s="57">
        <f>SUM(F37:F38)</f>
        <v>118</v>
      </c>
    </row>
    <row r="40" spans="1:8" ht="16.5" hidden="1" customHeight="1" thickTop="1" thickBot="1" x14ac:dyDescent="0.25"/>
    <row r="41" spans="1:8" ht="15.75" thickTop="1" x14ac:dyDescent="0.25"/>
    <row r="42" spans="1:8" x14ac:dyDescent="0.25"/>
    <row r="43" spans="1:8" x14ac:dyDescent="0.25">
      <c r="A43" t="s">
        <v>38</v>
      </c>
      <c r="B43" s="219" t="s">
        <v>70</v>
      </c>
      <c r="C43" s="219"/>
      <c r="D43" s="219"/>
      <c r="E43" s="219"/>
      <c r="F43" s="219"/>
      <c r="G43" s="219"/>
      <c r="H43" s="219"/>
    </row>
    <row r="44" spans="1:8" x14ac:dyDescent="0.25"/>
    <row r="45" spans="1:8" ht="15.75" thickBot="1" x14ac:dyDescent="0.3">
      <c r="B45" s="212" t="s">
        <v>34</v>
      </c>
      <c r="C45" s="212"/>
      <c r="D45" s="54"/>
      <c r="E45" s="54"/>
      <c r="F45" s="54"/>
    </row>
    <row r="46" spans="1:8" ht="16.5" thickTop="1" thickBot="1" x14ac:dyDescent="0.3">
      <c r="B46" s="217" t="s">
        <v>71</v>
      </c>
      <c r="C46" s="197" t="s">
        <v>32</v>
      </c>
      <c r="D46" s="198"/>
      <c r="E46" s="205" t="s">
        <v>29</v>
      </c>
      <c r="F46" s="202" t="s">
        <v>16</v>
      </c>
    </row>
    <row r="47" spans="1:8" ht="36" customHeight="1" thickTop="1" thickBot="1" x14ac:dyDescent="0.3">
      <c r="B47" s="196"/>
      <c r="C47" s="42" t="s">
        <v>68</v>
      </c>
      <c r="D47" s="43" t="s">
        <v>25</v>
      </c>
      <c r="E47" s="205"/>
      <c r="F47" s="211"/>
    </row>
    <row r="48" spans="1:8" ht="15.75" hidden="1" thickTop="1" x14ac:dyDescent="0.25">
      <c r="B48" s="1" t="s">
        <v>9</v>
      </c>
      <c r="C48" s="2" t="s">
        <v>10</v>
      </c>
      <c r="D48" s="24" t="s">
        <v>11</v>
      </c>
      <c r="E48" s="13" t="s">
        <v>15</v>
      </c>
      <c r="F48" s="56" t="s">
        <v>13</v>
      </c>
    </row>
    <row r="49" spans="1:7" ht="27" customHeight="1" thickTop="1" x14ac:dyDescent="0.25">
      <c r="A49" s="35"/>
      <c r="B49" s="33" t="s">
        <v>65</v>
      </c>
      <c r="C49" s="53">
        <v>23</v>
      </c>
      <c r="D49" s="53">
        <v>164</v>
      </c>
      <c r="E49" s="280">
        <v>0.56499999999999995</v>
      </c>
      <c r="F49" s="52">
        <f>SUM(Table2427811121317[[#This Row],[Column2]:[Column3]])</f>
        <v>187</v>
      </c>
    </row>
    <row r="50" spans="1:7" ht="23.25" customHeight="1" x14ac:dyDescent="0.25">
      <c r="A50" s="35"/>
      <c r="B50" s="33" t="s">
        <v>64</v>
      </c>
      <c r="C50" s="25">
        <v>16</v>
      </c>
      <c r="D50" s="25">
        <v>128</v>
      </c>
      <c r="E50" s="279">
        <v>0.435</v>
      </c>
      <c r="F50" s="52">
        <f>SUM(Table2427811121317[[#This Row],[Column2]:[Column3]])</f>
        <v>144</v>
      </c>
    </row>
    <row r="51" spans="1:7" ht="20.25" customHeight="1" thickBot="1" x14ac:dyDescent="0.3">
      <c r="B51" s="36" t="s">
        <v>28</v>
      </c>
      <c r="C51" s="37">
        <f>SUM(C50:C50)</f>
        <v>16</v>
      </c>
      <c r="D51" s="37">
        <f>SUM(D50:D50)</f>
        <v>128</v>
      </c>
      <c r="E51" s="38">
        <f>SUM(E50:E50)</f>
        <v>0.435</v>
      </c>
      <c r="F51" s="57">
        <f>SUM(F50:F50)</f>
        <v>144</v>
      </c>
    </row>
    <row r="52" spans="1:7" ht="15.75" thickTop="1" x14ac:dyDescent="0.25"/>
    <row r="53" spans="1:7" x14ac:dyDescent="0.25"/>
    <row r="54" spans="1:7" ht="15.75" thickBot="1" x14ac:dyDescent="0.3">
      <c r="B54" s="44" t="s">
        <v>34</v>
      </c>
      <c r="C54" s="44"/>
      <c r="D54" s="44"/>
    </row>
    <row r="55" spans="1:7" ht="16.5" thickTop="1" thickBot="1" x14ac:dyDescent="0.3">
      <c r="B55" s="213" t="s">
        <v>87</v>
      </c>
      <c r="C55" s="197" t="s">
        <v>32</v>
      </c>
      <c r="D55" s="198"/>
      <c r="E55" s="199" t="s">
        <v>29</v>
      </c>
      <c r="F55" s="201" t="s">
        <v>16</v>
      </c>
    </row>
    <row r="56" spans="1:7" ht="16.5" thickTop="1" thickBot="1" x14ac:dyDescent="0.3">
      <c r="A56" s="35"/>
      <c r="B56" s="214"/>
      <c r="C56" s="42" t="s">
        <v>40</v>
      </c>
      <c r="D56" s="31" t="s">
        <v>25</v>
      </c>
      <c r="E56" s="200"/>
      <c r="F56" s="215"/>
      <c r="G56" s="41"/>
    </row>
    <row r="57" spans="1:7" ht="15.75" hidden="1" thickTop="1" x14ac:dyDescent="0.25">
      <c r="A57" s="35"/>
      <c r="B57" s="58" t="s">
        <v>9</v>
      </c>
      <c r="C57" s="2" t="s">
        <v>10</v>
      </c>
      <c r="D57" s="24" t="s">
        <v>11</v>
      </c>
      <c r="E57" s="13" t="s">
        <v>15</v>
      </c>
      <c r="F57" t="s">
        <v>13</v>
      </c>
      <c r="G57" s="41"/>
    </row>
    <row r="58" spans="1:7" ht="15.75" thickTop="1" x14ac:dyDescent="0.25">
      <c r="A58" s="35"/>
      <c r="B58" s="33" t="s">
        <v>72</v>
      </c>
      <c r="C58" s="25">
        <v>11</v>
      </c>
      <c r="D58" s="25">
        <v>101</v>
      </c>
      <c r="E58" s="279">
        <v>0.215</v>
      </c>
      <c r="F58" s="55">
        <f>Table2427891018[[#This Row],[Column2]]+Table2427891018[[#This Row],[Column3]]</f>
        <v>112</v>
      </c>
      <c r="G58" s="41"/>
    </row>
    <row r="59" spans="1:7" x14ac:dyDescent="0.25">
      <c r="A59" s="35"/>
      <c r="B59" s="46" t="s">
        <v>73</v>
      </c>
      <c r="C59" s="30">
        <v>7</v>
      </c>
      <c r="D59" s="30">
        <v>67</v>
      </c>
      <c r="E59" s="279">
        <v>0.14199999999999999</v>
      </c>
      <c r="F59" s="55">
        <f>Table2427891018[[#This Row],[Column2]]+Table2427891018[[#This Row],[Column3]]</f>
        <v>74</v>
      </c>
      <c r="G59" s="41"/>
    </row>
    <row r="60" spans="1:7" x14ac:dyDescent="0.25">
      <c r="A60" s="35"/>
      <c r="B60" s="33" t="s">
        <v>84</v>
      </c>
      <c r="C60" s="26">
        <v>5</v>
      </c>
      <c r="D60" s="26">
        <v>56</v>
      </c>
      <c r="E60" s="279">
        <v>0.11700000000000001</v>
      </c>
      <c r="F60" s="55">
        <f>Table2427891018[[#This Row],[Column2]]+Table2427891018[[#This Row],[Column3]]</f>
        <v>61</v>
      </c>
      <c r="G60" s="41"/>
    </row>
    <row r="61" spans="1:7" x14ac:dyDescent="0.25">
      <c r="A61" s="35"/>
      <c r="B61" s="46" t="s">
        <v>74</v>
      </c>
      <c r="C61" s="25">
        <v>8</v>
      </c>
      <c r="D61" s="25">
        <v>39</v>
      </c>
      <c r="E61" s="279">
        <v>0.09</v>
      </c>
      <c r="F61" s="55">
        <f>Table2427891018[[#This Row],[Column2]]+Table2427891018[[#This Row],[Column3]]</f>
        <v>47</v>
      </c>
      <c r="G61" s="41"/>
    </row>
    <row r="62" spans="1:7" ht="60" x14ac:dyDescent="0.25">
      <c r="A62" s="35"/>
      <c r="B62" s="46" t="s">
        <v>77</v>
      </c>
      <c r="C62" s="26">
        <v>5</v>
      </c>
      <c r="D62" s="26">
        <v>41</v>
      </c>
      <c r="E62" s="279">
        <v>8.7999999999999995E-2</v>
      </c>
      <c r="F62" s="55">
        <f>Table2427891018[[#This Row],[Column2]]+Table2427891018[[#This Row],[Column3]]</f>
        <v>46</v>
      </c>
      <c r="G62" s="41"/>
    </row>
    <row r="63" spans="1:7" x14ac:dyDescent="0.25">
      <c r="A63" s="35"/>
      <c r="B63" s="33" t="s">
        <v>79</v>
      </c>
      <c r="C63" s="26">
        <v>6</v>
      </c>
      <c r="D63" s="26">
        <v>27</v>
      </c>
      <c r="E63" s="279">
        <v>6.4000000000000001E-2</v>
      </c>
      <c r="F63" s="55">
        <f>Table2427891018[[#This Row],[Column2]]+Table2427891018[[#This Row],[Column3]]</f>
        <v>33</v>
      </c>
      <c r="G63" s="41"/>
    </row>
    <row r="64" spans="1:7" ht="30" x14ac:dyDescent="0.25">
      <c r="A64" s="35"/>
      <c r="B64" s="46" t="s">
        <v>75</v>
      </c>
      <c r="C64" s="30">
        <v>3</v>
      </c>
      <c r="D64" s="30">
        <v>30</v>
      </c>
      <c r="E64" s="279">
        <v>6.3E-2</v>
      </c>
      <c r="F64" s="55">
        <f>Table2427891018[[#This Row],[Column2]]+Table2427891018[[#This Row],[Column3]]</f>
        <v>33</v>
      </c>
      <c r="G64" s="41"/>
    </row>
    <row r="65" spans="1:7" x14ac:dyDescent="0.25">
      <c r="A65" s="35"/>
      <c r="B65" s="33" t="s">
        <v>86</v>
      </c>
      <c r="C65" s="26">
        <v>4</v>
      </c>
      <c r="D65" s="26">
        <v>24</v>
      </c>
      <c r="E65" s="279">
        <v>5.3999999999999999E-2</v>
      </c>
      <c r="F65" s="55">
        <f>Table2427891018[[#This Row],[Column2]]+Table2427891018[[#This Row],[Column3]]</f>
        <v>28</v>
      </c>
      <c r="G65" s="41"/>
    </row>
    <row r="66" spans="1:7" x14ac:dyDescent="0.25">
      <c r="A66" s="35"/>
      <c r="B66" s="33" t="s">
        <v>82</v>
      </c>
      <c r="C66" s="26">
        <v>1</v>
      </c>
      <c r="D66" s="26">
        <v>21</v>
      </c>
      <c r="E66" s="279">
        <v>4.2000000000000003E-2</v>
      </c>
      <c r="F66" s="55">
        <f>Table2427891018[[#This Row],[Column2]]+Table2427891018[[#This Row],[Column3]]</f>
        <v>22</v>
      </c>
      <c r="G66" s="41"/>
    </row>
    <row r="67" spans="1:7" ht="45" x14ac:dyDescent="0.25">
      <c r="A67" s="35"/>
      <c r="B67" s="46" t="s">
        <v>76</v>
      </c>
      <c r="C67" s="26">
        <v>4</v>
      </c>
      <c r="D67" s="26">
        <v>11</v>
      </c>
      <c r="E67" s="279">
        <v>2.9000000000000001E-2</v>
      </c>
      <c r="F67" s="55">
        <f>Table2427891018[[#This Row],[Column2]]+Table2427891018[[#This Row],[Column3]]</f>
        <v>15</v>
      </c>
      <c r="G67" s="41"/>
    </row>
    <row r="68" spans="1:7" ht="45" x14ac:dyDescent="0.25">
      <c r="A68" s="35"/>
      <c r="B68" s="46" t="s">
        <v>78</v>
      </c>
      <c r="C68" s="26">
        <v>3</v>
      </c>
      <c r="D68" s="26">
        <v>10</v>
      </c>
      <c r="E68" s="279">
        <v>2.5000000000000001E-2</v>
      </c>
      <c r="F68" s="55">
        <f>Table2427891018[[#This Row],[Column2]]+Table2427891018[[#This Row],[Column3]]</f>
        <v>13</v>
      </c>
      <c r="G68" s="41"/>
    </row>
    <row r="69" spans="1:7" ht="30" x14ac:dyDescent="0.25">
      <c r="A69" s="35"/>
      <c r="B69" s="46" t="s">
        <v>80</v>
      </c>
      <c r="C69" s="26">
        <v>2</v>
      </c>
      <c r="D69" s="26">
        <v>9</v>
      </c>
      <c r="E69" s="279">
        <v>2.1000000000000001E-2</v>
      </c>
      <c r="F69" s="55">
        <f>Table2427891018[[#This Row],[Column2]]+Table2427891018[[#This Row],[Column3]]</f>
        <v>11</v>
      </c>
      <c r="G69" s="41"/>
    </row>
    <row r="70" spans="1:7" x14ac:dyDescent="0.25">
      <c r="A70" s="35"/>
      <c r="B70" s="33" t="s">
        <v>83</v>
      </c>
      <c r="C70" s="26">
        <v>0</v>
      </c>
      <c r="D70" s="26">
        <v>11</v>
      </c>
      <c r="E70" s="279">
        <v>2.1000000000000001E-2</v>
      </c>
      <c r="F70" s="55">
        <f>Table2427891018[[#This Row],[Column2]]+Table2427891018[[#This Row],[Column3]]</f>
        <v>11</v>
      </c>
      <c r="G70" s="41"/>
    </row>
    <row r="71" spans="1:7" ht="30" x14ac:dyDescent="0.25">
      <c r="A71" s="35"/>
      <c r="B71" s="46" t="s">
        <v>81</v>
      </c>
      <c r="C71" s="26">
        <v>0</v>
      </c>
      <c r="D71" s="26">
        <v>9</v>
      </c>
      <c r="E71" s="279">
        <v>1.7000000000000001E-2</v>
      </c>
      <c r="F71" s="55">
        <f>Table2427891018[[#This Row],[Column2]]+Table2427891018[[#This Row],[Column3]]</f>
        <v>9</v>
      </c>
      <c r="G71" s="41"/>
    </row>
    <row r="72" spans="1:7" ht="45" x14ac:dyDescent="0.25">
      <c r="A72" s="35"/>
      <c r="B72" s="46" t="s">
        <v>85</v>
      </c>
      <c r="C72" s="26">
        <v>1</v>
      </c>
      <c r="D72" s="26">
        <v>5</v>
      </c>
      <c r="E72" s="279">
        <v>1.2E-2</v>
      </c>
      <c r="F72" s="55">
        <f>Table2427891018[[#This Row],[Column2]]+Table2427891018[[#This Row],[Column3]]</f>
        <v>6</v>
      </c>
      <c r="G72" s="41"/>
    </row>
    <row r="73" spans="1:7" ht="15.75" thickBot="1" x14ac:dyDescent="0.3">
      <c r="A73" s="35"/>
      <c r="B73" s="59" t="s">
        <v>28</v>
      </c>
      <c r="C73" s="37">
        <f>SUM(C58:C72)</f>
        <v>60</v>
      </c>
      <c r="D73" s="37">
        <f>SUM(D58:D72)</f>
        <v>461</v>
      </c>
      <c r="E73" s="49">
        <f>SUM(E58:E72)</f>
        <v>1</v>
      </c>
      <c r="F73" s="60">
        <f>Table2427891018[[#This Row],[Column2]]+Table2427891018[[#This Row],[Column3]]</f>
        <v>521</v>
      </c>
      <c r="G73" s="41"/>
    </row>
    <row r="74" spans="1:7" ht="15.75" thickTop="1" x14ac:dyDescent="0.25"/>
    <row r="75" spans="1:7" x14ac:dyDescent="0.25"/>
    <row r="76" spans="1:7" ht="15.75" x14ac:dyDescent="0.25">
      <c r="A76" t="s">
        <v>39</v>
      </c>
      <c r="B76" s="218" t="s">
        <v>88</v>
      </c>
      <c r="C76" s="218"/>
      <c r="D76" s="218"/>
      <c r="E76" s="218"/>
    </row>
    <row r="77" spans="1:7" x14ac:dyDescent="0.25"/>
    <row r="78" spans="1:7" ht="15.75" thickBot="1" x14ac:dyDescent="0.3">
      <c r="B78" s="212" t="s">
        <v>34</v>
      </c>
      <c r="C78" s="212"/>
      <c r="D78" s="54"/>
      <c r="E78" s="54"/>
      <c r="F78" s="54"/>
    </row>
    <row r="79" spans="1:7" ht="16.5" thickTop="1" thickBot="1" x14ac:dyDescent="0.3">
      <c r="B79" s="217" t="s">
        <v>69</v>
      </c>
      <c r="C79" s="197" t="s">
        <v>32</v>
      </c>
      <c r="D79" s="198"/>
      <c r="E79" s="205" t="s">
        <v>29</v>
      </c>
      <c r="F79" s="202" t="s">
        <v>16</v>
      </c>
    </row>
    <row r="80" spans="1:7" ht="16.5" thickTop="1" thickBot="1" x14ac:dyDescent="0.3">
      <c r="B80" s="196"/>
      <c r="C80" s="42" t="s">
        <v>68</v>
      </c>
      <c r="D80" s="43" t="s">
        <v>25</v>
      </c>
      <c r="E80" s="205"/>
      <c r="F80" s="211"/>
    </row>
    <row r="81" spans="1:6" ht="15.75" hidden="1" thickTop="1" x14ac:dyDescent="0.25">
      <c r="A81" s="35"/>
      <c r="B81" s="58" t="s">
        <v>9</v>
      </c>
      <c r="C81" s="2" t="s">
        <v>10</v>
      </c>
      <c r="D81" s="24" t="s">
        <v>11</v>
      </c>
      <c r="E81" s="13" t="s">
        <v>15</v>
      </c>
      <c r="F81" s="56" t="s">
        <v>13</v>
      </c>
    </row>
    <row r="82" spans="1:6" ht="15.75" thickTop="1" x14ac:dyDescent="0.25">
      <c r="A82" s="35"/>
      <c r="B82" s="33" t="s">
        <v>64</v>
      </c>
      <c r="C82" s="25">
        <v>6</v>
      </c>
      <c r="D82" s="25">
        <v>100</v>
      </c>
      <c r="E82" s="279">
        <v>0.89800000000000002</v>
      </c>
      <c r="F82" s="52">
        <f>SUM(Table242781112131419[[#This Row],[Column2]:[Column3]])</f>
        <v>106</v>
      </c>
    </row>
    <row r="83" spans="1:6" x14ac:dyDescent="0.25">
      <c r="A83" s="35"/>
      <c r="B83" s="33" t="s">
        <v>65</v>
      </c>
      <c r="C83" s="53">
        <v>1</v>
      </c>
      <c r="D83" s="53">
        <v>11</v>
      </c>
      <c r="E83" s="280">
        <v>0.10199999999999999</v>
      </c>
      <c r="F83" s="52">
        <f>SUM(Table242781112131419[[#This Row],[Column2]:[Column3]])</f>
        <v>12</v>
      </c>
    </row>
    <row r="84" spans="1:6" ht="15.75" thickBot="1" x14ac:dyDescent="0.3">
      <c r="B84" s="36" t="s">
        <v>28</v>
      </c>
      <c r="C84" s="37">
        <f>SUM(C82:C83)</f>
        <v>7</v>
      </c>
      <c r="D84" s="37">
        <f>SUM(D82:D83)</f>
        <v>111</v>
      </c>
      <c r="E84" s="38">
        <f>SUM(E82:E83)</f>
        <v>1</v>
      </c>
      <c r="F84" s="57">
        <f>SUM(F82:F83)</f>
        <v>118</v>
      </c>
    </row>
    <row r="85" spans="1:6" ht="15.75" thickTop="1" x14ac:dyDescent="0.25"/>
    <row r="86" spans="1:6" x14ac:dyDescent="0.25"/>
    <row r="87" spans="1:6" x14ac:dyDescent="0.25"/>
    <row r="88" spans="1:6" x14ac:dyDescent="0.25"/>
    <row r="89" spans="1:6" x14ac:dyDescent="0.25"/>
    <row r="90" spans="1:6" x14ac:dyDescent="0.25"/>
    <row r="91" spans="1:6" hidden="1" x14ac:dyDescent="0.25"/>
    <row r="92" spans="1:6" hidden="1" x14ac:dyDescent="0.25"/>
    <row r="93" spans="1:6" hidden="1" x14ac:dyDescent="0.25"/>
    <row r="94" spans="1:6" hidden="1" x14ac:dyDescent="0.25"/>
    <row r="95" spans="1:6" hidden="1" x14ac:dyDescent="0.25"/>
    <row r="96" spans="1:6" hidden="1" x14ac:dyDescent="0.25"/>
    <row r="97" hidden="1" x14ac:dyDescent="0.25"/>
  </sheetData>
  <mergeCells count="38">
    <mergeCell ref="B4:H4"/>
    <mergeCell ref="A2:H2"/>
    <mergeCell ref="B7:B8"/>
    <mergeCell ref="C7:D7"/>
    <mergeCell ref="E7:E8"/>
    <mergeCell ref="F7:F8"/>
    <mergeCell ref="B6:C6"/>
    <mergeCell ref="B24:C24"/>
    <mergeCell ref="B76:E76"/>
    <mergeCell ref="B78:C78"/>
    <mergeCell ref="B79:B80"/>
    <mergeCell ref="C79:D79"/>
    <mergeCell ref="B46:B47"/>
    <mergeCell ref="B43:H43"/>
    <mergeCell ref="B34:B35"/>
    <mergeCell ref="B25:B26"/>
    <mergeCell ref="C25:D25"/>
    <mergeCell ref="E25:E26"/>
    <mergeCell ref="F25:F26"/>
    <mergeCell ref="B33:C33"/>
    <mergeCell ref="C34:D34"/>
    <mergeCell ref="E34:E35"/>
    <mergeCell ref="F34:F35"/>
    <mergeCell ref="B15:C15"/>
    <mergeCell ref="C16:D16"/>
    <mergeCell ref="E16:E17"/>
    <mergeCell ref="F16:F17"/>
    <mergeCell ref="B16:B17"/>
    <mergeCell ref="E79:E80"/>
    <mergeCell ref="F79:F80"/>
    <mergeCell ref="B45:C45"/>
    <mergeCell ref="C46:D46"/>
    <mergeCell ref="E46:E47"/>
    <mergeCell ref="F46:F47"/>
    <mergeCell ref="B55:B56"/>
    <mergeCell ref="C55:D55"/>
    <mergeCell ref="E55:E56"/>
    <mergeCell ref="F55:F56"/>
  </mergeCells>
  <pageMargins left="0.7" right="0.7" top="0.75" bottom="0.75" header="0.3" footer="0.3"/>
  <legacyDrawing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50"/>
  <sheetViews>
    <sheetView topLeftCell="A28" workbookViewId="0">
      <selection activeCell="A51" sqref="A51:XFD1048576"/>
    </sheetView>
  </sheetViews>
  <sheetFormatPr defaultColWidth="0" defaultRowHeight="15" zeroHeight="1" x14ac:dyDescent="0.25"/>
  <cols>
    <col min="1" max="1" width="9.140625" customWidth="1"/>
    <col min="2" max="2" width="15.140625" customWidth="1"/>
    <col min="3" max="3" width="62.85546875" customWidth="1"/>
    <col min="4" max="6" width="9.140625" customWidth="1"/>
    <col min="7" max="7" width="13.85546875" customWidth="1"/>
    <col min="8" max="16384" width="9.140625" hidden="1"/>
  </cols>
  <sheetData>
    <row r="1" spans="1:6" x14ac:dyDescent="0.25"/>
    <row r="2" spans="1:6" ht="15.75" x14ac:dyDescent="0.25">
      <c r="A2" s="222"/>
      <c r="B2" s="222"/>
      <c r="C2" s="222"/>
      <c r="D2" s="222"/>
      <c r="E2" s="222"/>
      <c r="F2" s="222"/>
    </row>
    <row r="3" spans="1:6" x14ac:dyDescent="0.25"/>
    <row r="4" spans="1:6" x14ac:dyDescent="0.25">
      <c r="A4" s="219" t="s">
        <v>89</v>
      </c>
      <c r="B4" s="219"/>
      <c r="C4" s="219"/>
    </row>
    <row r="5" spans="1:6" ht="16.5" customHeight="1" thickBot="1" x14ac:dyDescent="0.3"/>
    <row r="6" spans="1:6" ht="16.5" customHeight="1" thickTop="1" thickBot="1" x14ac:dyDescent="0.3">
      <c r="B6" s="223" t="s">
        <v>91</v>
      </c>
      <c r="C6" s="225" t="s">
        <v>90</v>
      </c>
    </row>
    <row r="7" spans="1:6" ht="16.5" thickTop="1" thickBot="1" x14ac:dyDescent="0.3">
      <c r="A7" s="35"/>
      <c r="B7" s="224"/>
      <c r="C7" s="226"/>
    </row>
    <row r="8" spans="1:6" ht="15.75" hidden="1" customHeight="1" thickTop="1" x14ac:dyDescent="0.25">
      <c r="A8" s="35"/>
      <c r="B8" s="61" t="s">
        <v>9</v>
      </c>
      <c r="C8" s="62" t="s">
        <v>15</v>
      </c>
    </row>
    <row r="9" spans="1:6" ht="15.75" thickTop="1" x14ac:dyDescent="0.25">
      <c r="A9" s="35"/>
      <c r="B9" s="66">
        <v>1</v>
      </c>
      <c r="C9" s="63" t="s">
        <v>92</v>
      </c>
    </row>
    <row r="10" spans="1:6" x14ac:dyDescent="0.25">
      <c r="A10" s="35"/>
      <c r="B10" s="67">
        <v>2</v>
      </c>
      <c r="C10" s="63" t="s">
        <v>93</v>
      </c>
    </row>
    <row r="11" spans="1:6" x14ac:dyDescent="0.25">
      <c r="A11" s="35"/>
      <c r="B11" s="67">
        <v>3</v>
      </c>
      <c r="C11" s="64" t="s">
        <v>94</v>
      </c>
    </row>
    <row r="12" spans="1:6" x14ac:dyDescent="0.25">
      <c r="A12" s="35"/>
      <c r="B12" s="67">
        <v>4</v>
      </c>
      <c r="C12" s="64" t="s">
        <v>95</v>
      </c>
    </row>
    <row r="13" spans="1:6" x14ac:dyDescent="0.25">
      <c r="A13" s="35"/>
      <c r="B13" s="67">
        <v>5</v>
      </c>
      <c r="C13" s="64" t="s">
        <v>96</v>
      </c>
    </row>
    <row r="14" spans="1:6" x14ac:dyDescent="0.25">
      <c r="A14" s="35"/>
      <c r="B14" s="67">
        <v>6</v>
      </c>
      <c r="C14" s="64" t="s">
        <v>97</v>
      </c>
    </row>
    <row r="15" spans="1:6" x14ac:dyDescent="0.25">
      <c r="A15" s="35"/>
      <c r="B15" s="67">
        <v>7</v>
      </c>
      <c r="C15" s="64" t="s">
        <v>98</v>
      </c>
    </row>
    <row r="16" spans="1:6" x14ac:dyDescent="0.25">
      <c r="A16" s="35"/>
      <c r="B16" s="66">
        <v>8</v>
      </c>
      <c r="C16" s="64" t="s">
        <v>99</v>
      </c>
    </row>
    <row r="17" spans="1:3" x14ac:dyDescent="0.25">
      <c r="A17" s="35"/>
      <c r="B17" s="67">
        <v>9</v>
      </c>
      <c r="C17" s="64" t="s">
        <v>100</v>
      </c>
    </row>
    <row r="18" spans="1:3" x14ac:dyDescent="0.25">
      <c r="A18" s="35"/>
      <c r="B18" s="67">
        <v>10</v>
      </c>
      <c r="C18" s="64" t="s">
        <v>101</v>
      </c>
    </row>
    <row r="19" spans="1:3" x14ac:dyDescent="0.25">
      <c r="A19" s="35"/>
      <c r="B19" s="66">
        <v>11</v>
      </c>
      <c r="C19" s="64" t="s">
        <v>102</v>
      </c>
    </row>
    <row r="20" spans="1:3" x14ac:dyDescent="0.25">
      <c r="A20" s="35"/>
      <c r="B20" s="66">
        <v>12</v>
      </c>
      <c r="C20" s="64" t="s">
        <v>103</v>
      </c>
    </row>
    <row r="21" spans="1:3" x14ac:dyDescent="0.25">
      <c r="A21" s="35"/>
      <c r="B21" s="66">
        <v>13</v>
      </c>
      <c r="C21" s="64" t="s">
        <v>104</v>
      </c>
    </row>
    <row r="22" spans="1:3" x14ac:dyDescent="0.25">
      <c r="A22" s="35"/>
      <c r="B22" s="67">
        <v>14</v>
      </c>
      <c r="C22" s="64" t="s">
        <v>105</v>
      </c>
    </row>
    <row r="23" spans="1:3" x14ac:dyDescent="0.25">
      <c r="A23" s="35"/>
      <c r="B23" s="66">
        <v>15</v>
      </c>
      <c r="C23" s="64" t="s">
        <v>106</v>
      </c>
    </row>
    <row r="24" spans="1:3" x14ac:dyDescent="0.25">
      <c r="A24" s="35"/>
      <c r="B24" s="34">
        <v>16</v>
      </c>
      <c r="C24" s="64" t="s">
        <v>107</v>
      </c>
    </row>
    <row r="25" spans="1:3" x14ac:dyDescent="0.25">
      <c r="A25" s="35"/>
      <c r="B25" s="34">
        <v>17</v>
      </c>
      <c r="C25" s="64" t="s">
        <v>108</v>
      </c>
    </row>
    <row r="26" spans="1:3" x14ac:dyDescent="0.25">
      <c r="A26" s="35"/>
      <c r="B26" s="34">
        <v>18</v>
      </c>
      <c r="C26" s="64" t="s">
        <v>109</v>
      </c>
    </row>
    <row r="27" spans="1:3" x14ac:dyDescent="0.25">
      <c r="A27" s="35"/>
      <c r="B27" s="34">
        <v>19</v>
      </c>
      <c r="C27" s="64" t="s">
        <v>110</v>
      </c>
    </row>
    <row r="28" spans="1:3" x14ac:dyDescent="0.25">
      <c r="A28" s="35"/>
      <c r="B28" s="34">
        <v>20</v>
      </c>
      <c r="C28" s="64" t="s">
        <v>111</v>
      </c>
    </row>
    <row r="29" spans="1:3" x14ac:dyDescent="0.25">
      <c r="A29" s="35"/>
      <c r="B29" s="34">
        <v>21</v>
      </c>
      <c r="C29" s="64" t="s">
        <v>112</v>
      </c>
    </row>
    <row r="30" spans="1:3" x14ac:dyDescent="0.25">
      <c r="A30" s="35"/>
      <c r="B30" s="34">
        <v>22</v>
      </c>
      <c r="C30" s="64" t="s">
        <v>113</v>
      </c>
    </row>
    <row r="31" spans="1:3" x14ac:dyDescent="0.25">
      <c r="A31" s="35"/>
      <c r="B31" s="34">
        <v>23</v>
      </c>
      <c r="C31" s="64" t="s">
        <v>114</v>
      </c>
    </row>
    <row r="32" spans="1:3" x14ac:dyDescent="0.25">
      <c r="A32" s="35"/>
      <c r="B32" s="34">
        <v>24</v>
      </c>
      <c r="C32" s="64" t="s">
        <v>115</v>
      </c>
    </row>
    <row r="33" spans="1:3" x14ac:dyDescent="0.25">
      <c r="A33" s="35"/>
      <c r="B33" s="34">
        <v>25</v>
      </c>
      <c r="C33" s="64" t="s">
        <v>116</v>
      </c>
    </row>
    <row r="34" spans="1:3" x14ac:dyDescent="0.25">
      <c r="A34" s="35"/>
      <c r="B34" s="34">
        <v>26</v>
      </c>
      <c r="C34" s="64" t="s">
        <v>117</v>
      </c>
    </row>
    <row r="35" spans="1:3" x14ac:dyDescent="0.25">
      <c r="A35" s="35"/>
      <c r="B35" s="34">
        <v>27</v>
      </c>
      <c r="C35" s="64" t="s">
        <v>118</v>
      </c>
    </row>
    <row r="36" spans="1:3" x14ac:dyDescent="0.25">
      <c r="A36" s="35"/>
      <c r="B36" s="34">
        <v>28</v>
      </c>
      <c r="C36" s="64" t="s">
        <v>119</v>
      </c>
    </row>
    <row r="37" spans="1:3" x14ac:dyDescent="0.25">
      <c r="A37" s="35"/>
      <c r="B37" s="34">
        <v>29</v>
      </c>
      <c r="C37" s="64" t="s">
        <v>120</v>
      </c>
    </row>
    <row r="38" spans="1:3" x14ac:dyDescent="0.25">
      <c r="A38" s="35"/>
      <c r="B38" s="34">
        <v>30</v>
      </c>
      <c r="C38" s="64" t="s">
        <v>121</v>
      </c>
    </row>
    <row r="39" spans="1:3" x14ac:dyDescent="0.25">
      <c r="A39" s="35"/>
      <c r="B39" s="34">
        <v>31</v>
      </c>
      <c r="C39" s="64" t="s">
        <v>122</v>
      </c>
    </row>
    <row r="40" spans="1:3" x14ac:dyDescent="0.25">
      <c r="A40" s="35"/>
      <c r="B40" s="34">
        <v>32</v>
      </c>
      <c r="C40" s="64" t="s">
        <v>123</v>
      </c>
    </row>
    <row r="41" spans="1:3" x14ac:dyDescent="0.25">
      <c r="A41" s="35"/>
      <c r="B41" s="34">
        <v>33</v>
      </c>
      <c r="C41" s="64" t="s">
        <v>124</v>
      </c>
    </row>
    <row r="42" spans="1:3" x14ac:dyDescent="0.25">
      <c r="A42" s="35"/>
      <c r="B42" s="34">
        <v>34</v>
      </c>
      <c r="C42" s="64" t="s">
        <v>125</v>
      </c>
    </row>
    <row r="43" spans="1:3" x14ac:dyDescent="0.25">
      <c r="A43" s="35"/>
      <c r="B43" s="34">
        <v>35</v>
      </c>
      <c r="C43" s="64" t="s">
        <v>126</v>
      </c>
    </row>
    <row r="44" spans="1:3" x14ac:dyDescent="0.25">
      <c r="A44" s="35"/>
      <c r="B44" s="34">
        <v>36</v>
      </c>
      <c r="C44" s="64" t="s">
        <v>127</v>
      </c>
    </row>
    <row r="45" spans="1:3" x14ac:dyDescent="0.25">
      <c r="A45" s="35"/>
      <c r="B45" s="34">
        <v>37</v>
      </c>
      <c r="C45" s="64" t="s">
        <v>128</v>
      </c>
    </row>
    <row r="46" spans="1:3" x14ac:dyDescent="0.25">
      <c r="A46" s="35"/>
      <c r="B46" s="34">
        <v>38</v>
      </c>
      <c r="C46" s="64" t="s">
        <v>129</v>
      </c>
    </row>
    <row r="47" spans="1:3" x14ac:dyDescent="0.25">
      <c r="A47" s="35"/>
      <c r="B47" s="34">
        <v>39</v>
      </c>
      <c r="C47" s="64" t="s">
        <v>131</v>
      </c>
    </row>
    <row r="48" spans="1:3" ht="15.75" thickBot="1" x14ac:dyDescent="0.3">
      <c r="A48" s="35"/>
      <c r="B48" s="68">
        <v>40</v>
      </c>
      <c r="C48" s="65" t="s">
        <v>130</v>
      </c>
    </row>
    <row r="49" ht="15.75" thickTop="1" x14ac:dyDescent="0.25"/>
    <row r="50" x14ac:dyDescent="0.25"/>
  </sheetData>
  <mergeCells count="4">
    <mergeCell ref="A2:F2"/>
    <mergeCell ref="B6:B7"/>
    <mergeCell ref="C6:C7"/>
    <mergeCell ref="A4:C4"/>
  </mergeCells>
  <pageMargins left="0.7" right="0.7" top="0.75" bottom="0.75" header="0.3" footer="0.3"/>
  <pageSetup orientation="portrait" horizontalDpi="0" verticalDpi="0" r:id="rId1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"/>
  <sheetViews>
    <sheetView topLeftCell="A38" workbookViewId="0">
      <selection activeCell="G57" sqref="G57"/>
    </sheetView>
  </sheetViews>
  <sheetFormatPr defaultColWidth="0" defaultRowHeight="15" zeroHeight="1" x14ac:dyDescent="0.25"/>
  <cols>
    <col min="1" max="1" width="8.140625" customWidth="1"/>
    <col min="2" max="2" width="31.5703125" customWidth="1"/>
    <col min="3" max="3" width="9.85546875" customWidth="1"/>
    <col min="4" max="4" width="26.7109375" customWidth="1"/>
    <col min="5" max="5" width="11.5703125" customWidth="1"/>
    <col min="6" max="6" width="11.42578125" customWidth="1"/>
    <col min="7" max="7" width="9.140625" customWidth="1"/>
    <col min="8" max="8" width="0" hidden="1" customWidth="1"/>
    <col min="9" max="16384" width="9.140625" hidden="1"/>
  </cols>
  <sheetData>
    <row r="1" spans="1:8" x14ac:dyDescent="0.25"/>
    <row r="2" spans="1:8" ht="34.5" customHeight="1" x14ac:dyDescent="0.25">
      <c r="A2" s="29" t="s">
        <v>37</v>
      </c>
      <c r="B2" s="227" t="s">
        <v>132</v>
      </c>
      <c r="C2" s="227"/>
      <c r="D2" s="227"/>
      <c r="E2" s="227"/>
      <c r="F2" s="227"/>
      <c r="G2" s="227"/>
    </row>
    <row r="3" spans="1:8" x14ac:dyDescent="0.25">
      <c r="B3" s="81" t="s">
        <v>140</v>
      </c>
    </row>
    <row r="4" spans="1:8" ht="15.75" thickBot="1" x14ac:dyDescent="0.3">
      <c r="B4" s="216" t="s">
        <v>34</v>
      </c>
      <c r="C4" s="216"/>
      <c r="D4" s="54"/>
      <c r="E4" s="54"/>
      <c r="F4" s="54"/>
    </row>
    <row r="5" spans="1:8" ht="16.5" thickTop="1" thickBot="1" x14ac:dyDescent="0.3">
      <c r="B5" s="217" t="s">
        <v>133</v>
      </c>
      <c r="C5" s="197" t="s">
        <v>32</v>
      </c>
      <c r="D5" s="198"/>
      <c r="E5" s="205" t="s">
        <v>29</v>
      </c>
      <c r="F5" s="202" t="s">
        <v>16</v>
      </c>
      <c r="H5" s="70"/>
    </row>
    <row r="6" spans="1:8" ht="16.5" thickTop="1" thickBot="1" x14ac:dyDescent="0.3">
      <c r="B6" s="196"/>
      <c r="C6" s="42" t="s">
        <v>68</v>
      </c>
      <c r="D6" s="43" t="s">
        <v>25</v>
      </c>
      <c r="E6" s="205"/>
      <c r="F6" s="211"/>
    </row>
    <row r="7" spans="1:8" ht="15.75" hidden="1" thickTop="1" x14ac:dyDescent="0.25">
      <c r="A7" s="35"/>
      <c r="B7" s="58" t="s">
        <v>9</v>
      </c>
      <c r="C7" s="2" t="s">
        <v>10</v>
      </c>
      <c r="D7" s="24" t="s">
        <v>11</v>
      </c>
      <c r="E7" s="13" t="s">
        <v>15</v>
      </c>
      <c r="F7" s="56" t="s">
        <v>13</v>
      </c>
    </row>
    <row r="8" spans="1:8" ht="30.75" thickTop="1" x14ac:dyDescent="0.25">
      <c r="A8" s="35"/>
      <c r="B8" s="46" t="s">
        <v>134</v>
      </c>
      <c r="C8" s="25">
        <v>24</v>
      </c>
      <c r="D8" s="25">
        <v>163</v>
      </c>
      <c r="E8" s="279">
        <v>0.28999999999999998</v>
      </c>
      <c r="F8" s="52">
        <f>Table24278111213176[[#This Row],[Column2]]+Table24278111213176[[#This Row],[Column3]]</f>
        <v>187</v>
      </c>
    </row>
    <row r="9" spans="1:8" ht="30" x14ac:dyDescent="0.25">
      <c r="A9" s="35"/>
      <c r="B9" s="45" t="s">
        <v>135</v>
      </c>
      <c r="C9" s="71">
        <v>20</v>
      </c>
      <c r="D9" s="71">
        <v>132</v>
      </c>
      <c r="E9" s="282">
        <v>0.23599999999999999</v>
      </c>
      <c r="F9" s="52">
        <f>Table24278111213176[[#This Row],[Column2]]+Table24278111213176[[#This Row],[Column3]]</f>
        <v>152</v>
      </c>
    </row>
    <row r="10" spans="1:8" ht="30" x14ac:dyDescent="0.25">
      <c r="A10" s="35"/>
      <c r="B10" s="46" t="s">
        <v>138</v>
      </c>
      <c r="C10" s="71">
        <v>17</v>
      </c>
      <c r="D10" s="71">
        <v>109</v>
      </c>
      <c r="E10" s="282">
        <v>0.19600000000000001</v>
      </c>
      <c r="F10" s="52">
        <f>Table24278111213176[[#This Row],[Column2]]+Table24278111213176[[#This Row],[Column3]]</f>
        <v>126</v>
      </c>
    </row>
    <row r="11" spans="1:8" ht="30" x14ac:dyDescent="0.25">
      <c r="A11" s="35"/>
      <c r="B11" s="45" t="s">
        <v>136</v>
      </c>
      <c r="C11" s="71">
        <v>12</v>
      </c>
      <c r="D11" s="71">
        <v>84</v>
      </c>
      <c r="E11" s="282">
        <v>0.14899999999999999</v>
      </c>
      <c r="F11" s="52">
        <f>Table24278111213176[[#This Row],[Column2]]+Table24278111213176[[#This Row],[Column3]]</f>
        <v>96</v>
      </c>
    </row>
    <row r="12" spans="1:8" ht="15.75" thickBot="1" x14ac:dyDescent="0.3">
      <c r="A12" s="35"/>
      <c r="B12" s="73" t="s">
        <v>137</v>
      </c>
      <c r="C12" s="75">
        <v>14</v>
      </c>
      <c r="D12" s="76">
        <v>69</v>
      </c>
      <c r="E12" s="283">
        <v>0.129</v>
      </c>
      <c r="F12" s="52">
        <f>Table24278111213176[[#This Row],[Column2]]+Table24278111213176[[#This Row],[Column3]]</f>
        <v>83</v>
      </c>
    </row>
    <row r="13" spans="1:8" ht="16.5" thickTop="1" thickBot="1" x14ac:dyDescent="0.3">
      <c r="B13" s="72" t="s">
        <v>28</v>
      </c>
      <c r="C13" s="74">
        <f>SUM(C8:C12)</f>
        <v>87</v>
      </c>
      <c r="D13" s="77">
        <f>SUM(D8:D12)</f>
        <v>557</v>
      </c>
      <c r="E13" s="78">
        <f>SUM(E8:E12)</f>
        <v>1</v>
      </c>
      <c r="F13" s="80">
        <f>SUM(F8:F12)</f>
        <v>644</v>
      </c>
    </row>
    <row r="14" spans="1:8" ht="15.75" thickTop="1" x14ac:dyDescent="0.25"/>
    <row r="15" spans="1:8" ht="15.75" thickBot="1" x14ac:dyDescent="0.3">
      <c r="B15" s="216" t="s">
        <v>139</v>
      </c>
      <c r="C15" s="216"/>
      <c r="D15" s="54"/>
      <c r="E15" s="54"/>
      <c r="F15" s="54"/>
    </row>
    <row r="16" spans="1:8" ht="16.5" thickTop="1" thickBot="1" x14ac:dyDescent="0.3">
      <c r="B16" s="217" t="s">
        <v>133</v>
      </c>
      <c r="C16" s="197" t="s">
        <v>181</v>
      </c>
      <c r="D16" s="198"/>
      <c r="E16" s="205" t="s">
        <v>29</v>
      </c>
      <c r="F16" s="202" t="s">
        <v>16</v>
      </c>
    </row>
    <row r="17" spans="1:6" ht="16.5" thickTop="1" thickBot="1" x14ac:dyDescent="0.3">
      <c r="B17" s="196"/>
      <c r="C17" s="42" t="s">
        <v>20</v>
      </c>
      <c r="D17" s="43" t="s">
        <v>21</v>
      </c>
      <c r="E17" s="205"/>
      <c r="F17" s="211"/>
    </row>
    <row r="18" spans="1:6" ht="15.75" hidden="1" thickTop="1" x14ac:dyDescent="0.25">
      <c r="A18" s="35"/>
      <c r="B18" s="58" t="s">
        <v>9</v>
      </c>
      <c r="C18" s="2" t="s">
        <v>10</v>
      </c>
      <c r="D18" s="24" t="s">
        <v>11</v>
      </c>
      <c r="E18" s="13" t="s">
        <v>15</v>
      </c>
      <c r="F18" s="56" t="s">
        <v>13</v>
      </c>
    </row>
    <row r="19" spans="1:6" ht="30.75" thickTop="1" x14ac:dyDescent="0.25">
      <c r="A19" s="35"/>
      <c r="B19" s="46" t="s">
        <v>134</v>
      </c>
      <c r="C19" s="25">
        <v>75</v>
      </c>
      <c r="D19" s="25">
        <v>112</v>
      </c>
      <c r="E19" s="279">
        <v>0.28999999999999998</v>
      </c>
      <c r="F19" s="52">
        <f>Table242781112131767[[#This Row],[Column2]]+Table242781112131767[[#This Row],[Column3]]</f>
        <v>187</v>
      </c>
    </row>
    <row r="20" spans="1:6" ht="30" x14ac:dyDescent="0.25">
      <c r="A20" s="35"/>
      <c r="B20" s="46" t="s">
        <v>135</v>
      </c>
      <c r="C20" s="71">
        <v>53</v>
      </c>
      <c r="D20" s="71">
        <v>99</v>
      </c>
      <c r="E20" s="282">
        <v>0.23599999999999999</v>
      </c>
      <c r="F20" s="52">
        <f>Table242781112131767[[#This Row],[Column2]]+Table242781112131767[[#This Row],[Column3]]</f>
        <v>152</v>
      </c>
    </row>
    <row r="21" spans="1:6" ht="30" x14ac:dyDescent="0.25">
      <c r="A21" s="35"/>
      <c r="B21" s="46" t="s">
        <v>138</v>
      </c>
      <c r="C21" s="71">
        <v>48</v>
      </c>
      <c r="D21" s="71">
        <v>78</v>
      </c>
      <c r="E21" s="282">
        <v>0.19600000000000001</v>
      </c>
      <c r="F21" s="52">
        <f>Table242781112131767[[#This Row],[Column2]]+Table242781112131767[[#This Row],[Column3]]</f>
        <v>126</v>
      </c>
    </row>
    <row r="22" spans="1:6" ht="30" x14ac:dyDescent="0.25">
      <c r="A22" s="35"/>
      <c r="B22" s="46" t="s">
        <v>136</v>
      </c>
      <c r="C22" s="71">
        <v>36</v>
      </c>
      <c r="D22" s="71">
        <v>60</v>
      </c>
      <c r="E22" s="282">
        <v>0.14899999999999999</v>
      </c>
      <c r="F22" s="52">
        <f>Table242781112131767[[#This Row],[Column2]]+Table242781112131767[[#This Row],[Column3]]</f>
        <v>96</v>
      </c>
    </row>
    <row r="23" spans="1:6" ht="15.75" thickBot="1" x14ac:dyDescent="0.3">
      <c r="B23" s="73" t="s">
        <v>137</v>
      </c>
      <c r="C23" s="75">
        <v>38</v>
      </c>
      <c r="D23" s="76">
        <v>45</v>
      </c>
      <c r="E23" s="79">
        <v>0.129</v>
      </c>
      <c r="F23" s="52">
        <f>Table242781112131767[[#This Row],[Column2]]+Table242781112131767[[#This Row],[Column3]]</f>
        <v>83</v>
      </c>
    </row>
    <row r="24" spans="1:6" ht="16.5" thickTop="1" thickBot="1" x14ac:dyDescent="0.3">
      <c r="B24" s="72" t="s">
        <v>28</v>
      </c>
      <c r="C24" s="74">
        <f>SUM(C19:C23)</f>
        <v>250</v>
      </c>
      <c r="D24" s="77">
        <f>SUM(D19:D23)</f>
        <v>394</v>
      </c>
      <c r="E24" s="78">
        <f>SUM(E19:E23)</f>
        <v>1</v>
      </c>
      <c r="F24" s="80">
        <f>SUM(F19:F23)</f>
        <v>644</v>
      </c>
    </row>
    <row r="25" spans="1:6" ht="15.75" thickTop="1" x14ac:dyDescent="0.25"/>
    <row r="26" spans="1:6" x14ac:dyDescent="0.25">
      <c r="B26" s="82" t="s">
        <v>141</v>
      </c>
    </row>
    <row r="27" spans="1:6" ht="15.75" thickBot="1" x14ac:dyDescent="0.3">
      <c r="B27" s="216" t="s">
        <v>34</v>
      </c>
      <c r="C27" s="216"/>
      <c r="D27" s="54"/>
      <c r="E27" s="54"/>
      <c r="F27" s="54"/>
    </row>
    <row r="28" spans="1:6" ht="16.5" thickTop="1" thickBot="1" x14ac:dyDescent="0.3">
      <c r="B28" s="217" t="s">
        <v>143</v>
      </c>
      <c r="C28" s="197" t="s">
        <v>32</v>
      </c>
      <c r="D28" s="198"/>
      <c r="E28" s="205" t="s">
        <v>29</v>
      </c>
      <c r="F28" s="202" t="s">
        <v>16</v>
      </c>
    </row>
    <row r="29" spans="1:6" ht="16.5" thickTop="1" thickBot="1" x14ac:dyDescent="0.3">
      <c r="B29" s="196"/>
      <c r="C29" s="42" t="s">
        <v>40</v>
      </c>
      <c r="D29" s="43" t="s">
        <v>25</v>
      </c>
      <c r="E29" s="205"/>
      <c r="F29" s="211"/>
    </row>
    <row r="30" spans="1:6" ht="15.75" hidden="1" thickTop="1" x14ac:dyDescent="0.25">
      <c r="B30" s="58" t="s">
        <v>9</v>
      </c>
      <c r="C30" s="2" t="s">
        <v>10</v>
      </c>
      <c r="D30" s="24" t="s">
        <v>11</v>
      </c>
      <c r="E30" s="13" t="s">
        <v>15</v>
      </c>
      <c r="F30" s="56" t="s">
        <v>13</v>
      </c>
    </row>
    <row r="31" spans="1:6" ht="15.75" thickTop="1" x14ac:dyDescent="0.25">
      <c r="A31" s="35"/>
      <c r="B31" s="46" t="s">
        <v>142</v>
      </c>
      <c r="C31" s="25">
        <v>33</v>
      </c>
      <c r="D31" s="25">
        <v>255</v>
      </c>
      <c r="E31" s="279">
        <v>0.4</v>
      </c>
      <c r="F31" s="52">
        <f>Table24278111213176715[[#This Row],[Column2]]+Table24278111213176715[[#This Row],[Column3]]</f>
        <v>288</v>
      </c>
    </row>
    <row r="32" spans="1:6" x14ac:dyDescent="0.25">
      <c r="A32" s="35"/>
      <c r="B32" s="46" t="s">
        <v>144</v>
      </c>
      <c r="C32" s="71">
        <v>27</v>
      </c>
      <c r="D32" s="71">
        <v>197</v>
      </c>
      <c r="E32" s="282">
        <v>0.311</v>
      </c>
      <c r="F32" s="52">
        <f>Table24278111213176715[[#This Row],[Column2]]+Table24278111213176715[[#This Row],[Column3]]</f>
        <v>224</v>
      </c>
    </row>
    <row r="33" spans="1:7" ht="30.75" thickBot="1" x14ac:dyDescent="0.3">
      <c r="A33" s="35"/>
      <c r="B33" s="85" t="s">
        <v>145</v>
      </c>
      <c r="C33" s="75">
        <v>22</v>
      </c>
      <c r="D33" s="71">
        <v>186</v>
      </c>
      <c r="E33" s="284">
        <v>0.28899999999999998</v>
      </c>
      <c r="F33" s="52">
        <f>Table24278111213176715[[#This Row],[Column2]]+Table24278111213176715[[#This Row],[Column3]]</f>
        <v>208</v>
      </c>
    </row>
    <row r="34" spans="1:7" ht="16.5" thickTop="1" thickBot="1" x14ac:dyDescent="0.3">
      <c r="B34" s="84" t="s">
        <v>28</v>
      </c>
      <c r="C34" s="74">
        <f>SUM(C31:C33)</f>
        <v>82</v>
      </c>
      <c r="D34" s="77">
        <f>SUM(D31:D33)</f>
        <v>638</v>
      </c>
      <c r="E34" s="83">
        <f>SUM(E31:E33)</f>
        <v>1</v>
      </c>
      <c r="F34" s="80">
        <f>SUM(F31:F33)</f>
        <v>720</v>
      </c>
    </row>
    <row r="35" spans="1:7" ht="15.75" thickTop="1" x14ac:dyDescent="0.25"/>
    <row r="36" spans="1:7" ht="15.75" thickBot="1" x14ac:dyDescent="0.3">
      <c r="B36" s="216" t="s">
        <v>139</v>
      </c>
      <c r="C36" s="216"/>
      <c r="D36" s="54"/>
      <c r="E36" s="54"/>
      <c r="F36" s="54"/>
    </row>
    <row r="37" spans="1:7" ht="16.5" thickTop="1" thickBot="1" x14ac:dyDescent="0.3">
      <c r="B37" s="217" t="s">
        <v>143</v>
      </c>
      <c r="C37" s="197" t="s">
        <v>181</v>
      </c>
      <c r="D37" s="198"/>
      <c r="E37" s="205" t="s">
        <v>29</v>
      </c>
      <c r="F37" s="202" t="s">
        <v>16</v>
      </c>
    </row>
    <row r="38" spans="1:7" ht="16.5" thickTop="1" thickBot="1" x14ac:dyDescent="0.3">
      <c r="B38" s="196"/>
      <c r="C38" s="42" t="s">
        <v>20</v>
      </c>
      <c r="D38" s="43" t="s">
        <v>21</v>
      </c>
      <c r="E38" s="205"/>
      <c r="F38" s="211"/>
    </row>
    <row r="39" spans="1:7" ht="15.75" hidden="1" thickTop="1" x14ac:dyDescent="0.25">
      <c r="B39" s="58" t="s">
        <v>9</v>
      </c>
      <c r="C39" s="2" t="s">
        <v>10</v>
      </c>
      <c r="D39" s="24" t="s">
        <v>11</v>
      </c>
      <c r="E39" s="13" t="s">
        <v>15</v>
      </c>
      <c r="F39" s="56" t="s">
        <v>13</v>
      </c>
    </row>
    <row r="40" spans="1:7" ht="15.75" thickTop="1" x14ac:dyDescent="0.25">
      <c r="A40" s="35"/>
      <c r="B40" s="46" t="s">
        <v>142</v>
      </c>
      <c r="C40" s="25">
        <v>94</v>
      </c>
      <c r="D40" s="25">
        <v>194</v>
      </c>
      <c r="E40" s="279">
        <v>0.4</v>
      </c>
      <c r="F40" s="52">
        <f>Table2427811121317671516[[#This Row],[Column2]]+Table2427811121317671516[[#This Row],[Column3]]</f>
        <v>288</v>
      </c>
    </row>
    <row r="41" spans="1:7" x14ac:dyDescent="0.25">
      <c r="A41" s="35"/>
      <c r="B41" s="46" t="s">
        <v>144</v>
      </c>
      <c r="C41" s="71">
        <v>62</v>
      </c>
      <c r="D41" s="71">
        <v>162</v>
      </c>
      <c r="E41" s="282">
        <v>0.311</v>
      </c>
      <c r="F41" s="52">
        <f>Table2427811121317671516[[#This Row],[Column2]]+Table2427811121317671516[[#This Row],[Column3]]</f>
        <v>224</v>
      </c>
    </row>
    <row r="42" spans="1:7" ht="30.75" thickBot="1" x14ac:dyDescent="0.3">
      <c r="A42" s="35"/>
      <c r="B42" s="85" t="s">
        <v>145</v>
      </c>
      <c r="C42" s="76">
        <v>65</v>
      </c>
      <c r="D42" s="71">
        <v>143</v>
      </c>
      <c r="E42" s="284">
        <v>0.28899999999999998</v>
      </c>
      <c r="F42" s="52">
        <f>Table2427811121317671516[[#This Row],[Column2]]+Table2427811121317671516[[#This Row],[Column3]]</f>
        <v>208</v>
      </c>
    </row>
    <row r="43" spans="1:7" ht="16.5" thickTop="1" thickBot="1" x14ac:dyDescent="0.3">
      <c r="B43" s="84" t="s">
        <v>28</v>
      </c>
      <c r="C43" s="77">
        <f>SUM(C40:C42)</f>
        <v>221</v>
      </c>
      <c r="D43" s="77">
        <f>SUM(D40:D42)</f>
        <v>499</v>
      </c>
      <c r="E43" s="83">
        <f>SUM(E40:E42)</f>
        <v>1</v>
      </c>
      <c r="F43" s="80">
        <f>SUM(F40:F42)</f>
        <v>720</v>
      </c>
    </row>
    <row r="44" spans="1:7" ht="15.75" thickTop="1" x14ac:dyDescent="0.25"/>
    <row r="45" spans="1:7" x14ac:dyDescent="0.25"/>
    <row r="46" spans="1:7" x14ac:dyDescent="0.25">
      <c r="A46" t="s">
        <v>38</v>
      </c>
      <c r="B46" s="192" t="s">
        <v>146</v>
      </c>
      <c r="C46" s="192"/>
      <c r="D46" s="192"/>
      <c r="E46" s="192"/>
      <c r="F46" s="192"/>
      <c r="G46" s="192"/>
    </row>
    <row r="47" spans="1:7" ht="15.75" thickBot="1" x14ac:dyDescent="0.3"/>
    <row r="48" spans="1:7" ht="16.5" customHeight="1" thickTop="1" x14ac:dyDescent="0.25">
      <c r="B48" s="217" t="s">
        <v>147</v>
      </c>
      <c r="C48" s="228"/>
      <c r="D48" s="228" t="s">
        <v>150</v>
      </c>
      <c r="E48" s="231" t="s">
        <v>29</v>
      </c>
      <c r="F48" s="232"/>
    </row>
    <row r="49" spans="1:6" ht="15.75" thickBot="1" x14ac:dyDescent="0.3">
      <c r="B49" s="229"/>
      <c r="C49" s="230"/>
      <c r="D49" s="230"/>
      <c r="E49" s="233"/>
      <c r="F49" s="234"/>
    </row>
    <row r="50" spans="1:6" ht="15.75" hidden="1" thickTop="1" x14ac:dyDescent="0.25">
      <c r="B50" s="86" t="s">
        <v>9</v>
      </c>
      <c r="C50" s="87" t="s">
        <v>10</v>
      </c>
      <c r="D50" s="24" t="s">
        <v>11</v>
      </c>
      <c r="E50" s="13" t="s">
        <v>15</v>
      </c>
      <c r="F50" s="56" t="s">
        <v>13</v>
      </c>
    </row>
    <row r="51" spans="1:6" ht="33.75" customHeight="1" thickTop="1" thickBot="1" x14ac:dyDescent="0.3">
      <c r="A51" s="35"/>
      <c r="B51" s="94" t="s">
        <v>148</v>
      </c>
      <c r="C51" s="103" t="s">
        <v>25</v>
      </c>
      <c r="D51" s="99">
        <v>78</v>
      </c>
      <c r="E51" s="285">
        <v>0.95099999999999996</v>
      </c>
      <c r="F51" s="95"/>
    </row>
    <row r="52" spans="1:6" ht="16.5" thickTop="1" thickBot="1" x14ac:dyDescent="0.3">
      <c r="A52" s="35"/>
      <c r="B52" s="93"/>
      <c r="C52" s="102" t="s">
        <v>40</v>
      </c>
      <c r="D52" s="98">
        <v>4</v>
      </c>
      <c r="E52" s="286">
        <v>4.9000000000000002E-2</v>
      </c>
      <c r="F52" s="90"/>
    </row>
    <row r="53" spans="1:6" ht="17.25" thickTop="1" thickBot="1" x14ac:dyDescent="0.3">
      <c r="A53" s="35"/>
      <c r="B53" s="108" t="s">
        <v>28</v>
      </c>
      <c r="C53" s="104"/>
      <c r="D53" s="106">
        <f>SUM(D52:D52)</f>
        <v>4</v>
      </c>
      <c r="E53" s="287">
        <v>1</v>
      </c>
      <c r="F53" s="88"/>
    </row>
    <row r="54" spans="1:6" ht="16.5" thickTop="1" thickBot="1" x14ac:dyDescent="0.3">
      <c r="A54" s="35"/>
      <c r="B54" s="94" t="s">
        <v>198</v>
      </c>
      <c r="C54" s="99" t="s">
        <v>21</v>
      </c>
      <c r="D54" s="99">
        <v>60</v>
      </c>
      <c r="E54" s="285">
        <v>0.73199999999999998</v>
      </c>
      <c r="F54" s="95"/>
    </row>
    <row r="55" spans="1:6" ht="16.5" thickTop="1" thickBot="1" x14ac:dyDescent="0.3">
      <c r="A55" s="35"/>
      <c r="B55" s="93"/>
      <c r="C55" s="105" t="s">
        <v>20</v>
      </c>
      <c r="D55" s="107">
        <v>22</v>
      </c>
      <c r="E55" s="290">
        <v>0.26800000000000002</v>
      </c>
      <c r="F55" s="96"/>
    </row>
    <row r="56" spans="1:6" ht="20.25" thickTop="1" thickBot="1" x14ac:dyDescent="0.3">
      <c r="B56" s="109" t="s">
        <v>28</v>
      </c>
      <c r="C56" s="100"/>
      <c r="D56" s="101">
        <f>SUM(D55:D55)</f>
        <v>22</v>
      </c>
      <c r="E56" s="289">
        <v>1</v>
      </c>
      <c r="F56" s="92"/>
    </row>
    <row r="57" spans="1:6" ht="15.75" thickTop="1" x14ac:dyDescent="0.25"/>
    <row r="58" spans="1:6" x14ac:dyDescent="0.25"/>
    <row r="59" spans="1:6" hidden="1" x14ac:dyDescent="0.25"/>
    <row r="60" spans="1:6" hidden="1" x14ac:dyDescent="0.25"/>
    <row r="61" spans="1:6" hidden="1" x14ac:dyDescent="0.25"/>
    <row r="62" spans="1:6" hidden="1" x14ac:dyDescent="0.25"/>
  </sheetData>
  <mergeCells count="24">
    <mergeCell ref="B48:C49"/>
    <mergeCell ref="D48:D49"/>
    <mergeCell ref="E48:F49"/>
    <mergeCell ref="B28:B29"/>
    <mergeCell ref="C28:D28"/>
    <mergeCell ref="E28:E29"/>
    <mergeCell ref="F28:F29"/>
    <mergeCell ref="B36:C36"/>
    <mergeCell ref="B37:B38"/>
    <mergeCell ref="C37:D37"/>
    <mergeCell ref="E37:E38"/>
    <mergeCell ref="F37:F38"/>
    <mergeCell ref="B27:C27"/>
    <mergeCell ref="B2:G2"/>
    <mergeCell ref="B4:C4"/>
    <mergeCell ref="B5:B6"/>
    <mergeCell ref="C5:D5"/>
    <mergeCell ref="E5:E6"/>
    <mergeCell ref="F5:F6"/>
    <mergeCell ref="B15:C15"/>
    <mergeCell ref="B16:B17"/>
    <mergeCell ref="C16:D16"/>
    <mergeCell ref="E16:E17"/>
    <mergeCell ref="F16:F17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5"/>
  <sheetViews>
    <sheetView zoomScale="90" zoomScaleNormal="90" workbookViewId="0">
      <selection activeCell="J66" sqref="J66"/>
    </sheetView>
  </sheetViews>
  <sheetFormatPr defaultColWidth="0" defaultRowHeight="15" zeroHeight="1" x14ac:dyDescent="0.25"/>
  <cols>
    <col min="1" max="1" width="9.140625" customWidth="1"/>
    <col min="2" max="2" width="12.85546875" customWidth="1"/>
    <col min="3" max="3" width="43.140625" customWidth="1"/>
    <col min="4" max="4" width="18.7109375" style="116" customWidth="1"/>
    <col min="5" max="5" width="24.28515625" style="111" customWidth="1"/>
    <col min="6" max="6" width="11.42578125" style="111" customWidth="1"/>
    <col min="7" max="8" width="9.140625" customWidth="1"/>
    <col min="9" max="9" width="10.5703125" customWidth="1"/>
    <col min="10" max="10" width="17.7109375" customWidth="1"/>
    <col min="11" max="11" width="11.28515625" customWidth="1"/>
    <col min="12" max="12" width="9.140625" customWidth="1"/>
    <col min="13" max="16384" width="9.140625" hidden="1"/>
  </cols>
  <sheetData>
    <row r="1" spans="1:11" x14ac:dyDescent="0.25"/>
    <row r="2" spans="1:11" ht="15.75" x14ac:dyDescent="0.25">
      <c r="A2" t="s">
        <v>37</v>
      </c>
      <c r="B2" s="238" t="s">
        <v>151</v>
      </c>
      <c r="C2" s="238"/>
      <c r="D2" s="238"/>
      <c r="E2" s="238"/>
      <c r="F2" s="238"/>
      <c r="G2" s="238"/>
      <c r="H2" s="238"/>
      <c r="I2" s="238"/>
      <c r="J2" s="238"/>
      <c r="K2" s="238"/>
    </row>
    <row r="3" spans="1:11" ht="36.75" customHeight="1" thickBot="1" x14ac:dyDescent="0.3">
      <c r="J3" s="244" t="s">
        <v>204</v>
      </c>
      <c r="K3" s="244"/>
    </row>
    <row r="4" spans="1:11" ht="16.5" customHeight="1" thickTop="1" thickBot="1" x14ac:dyDescent="0.3">
      <c r="B4" s="223" t="s">
        <v>91</v>
      </c>
      <c r="C4" s="225" t="s">
        <v>90</v>
      </c>
      <c r="D4" s="241" t="s">
        <v>155</v>
      </c>
      <c r="E4" s="239" t="s">
        <v>152</v>
      </c>
      <c r="F4" s="239" t="s">
        <v>14</v>
      </c>
      <c r="J4" s="225" t="s">
        <v>90</v>
      </c>
      <c r="K4" s="239" t="s">
        <v>152</v>
      </c>
    </row>
    <row r="5" spans="1:11" ht="16.5" thickTop="1" thickBot="1" x14ac:dyDescent="0.3">
      <c r="A5" s="35"/>
      <c r="B5" s="224"/>
      <c r="C5" s="226"/>
      <c r="D5" s="242"/>
      <c r="E5" s="240"/>
      <c r="F5" s="243"/>
      <c r="J5" s="226"/>
      <c r="K5" s="240"/>
    </row>
    <row r="6" spans="1:11" ht="16.5" hidden="1" thickTop="1" thickBot="1" x14ac:dyDescent="0.3">
      <c r="A6" s="35"/>
      <c r="B6" s="61" t="s">
        <v>9</v>
      </c>
      <c r="C6" s="62" t="s">
        <v>15</v>
      </c>
      <c r="D6" s="110" t="s">
        <v>154</v>
      </c>
      <c r="E6" s="112" t="s">
        <v>153</v>
      </c>
      <c r="F6" s="112" t="s">
        <v>156</v>
      </c>
      <c r="J6" s="62" t="s">
        <v>15</v>
      </c>
      <c r="K6" s="112" t="s">
        <v>153</v>
      </c>
    </row>
    <row r="7" spans="1:11" ht="15.75" thickTop="1" x14ac:dyDescent="0.25">
      <c r="A7" s="35"/>
      <c r="B7" s="162">
        <v>3</v>
      </c>
      <c r="C7" s="159" t="s">
        <v>94</v>
      </c>
      <c r="D7" s="118">
        <v>7</v>
      </c>
      <c r="E7" s="114">
        <v>14000</v>
      </c>
      <c r="F7" s="114">
        <f>Table24278910182025[[#This Row],[Column43]]/Table24278910182025[[#This Row],[Column422]]</f>
        <v>2000</v>
      </c>
      <c r="J7" s="293" t="s">
        <v>94</v>
      </c>
      <c r="K7" s="297">
        <v>14000</v>
      </c>
    </row>
    <row r="8" spans="1:11" x14ac:dyDescent="0.25">
      <c r="A8" s="35"/>
      <c r="B8" s="163">
        <v>30</v>
      </c>
      <c r="C8" s="159" t="s">
        <v>121</v>
      </c>
      <c r="D8" s="118">
        <v>8</v>
      </c>
      <c r="E8" s="114">
        <v>10750</v>
      </c>
      <c r="F8" s="114">
        <f>Table24278910182025[[#This Row],[Column43]]/Table24278910182025[[#This Row],[Column422]]</f>
        <v>1343.75</v>
      </c>
      <c r="J8" s="294" t="s">
        <v>121</v>
      </c>
      <c r="K8" s="297">
        <v>10750</v>
      </c>
    </row>
    <row r="9" spans="1:11" x14ac:dyDescent="0.25">
      <c r="A9" s="35"/>
      <c r="B9" s="163">
        <v>25</v>
      </c>
      <c r="C9" s="159" t="s">
        <v>116</v>
      </c>
      <c r="D9" s="118">
        <v>23</v>
      </c>
      <c r="E9" s="114">
        <v>9250</v>
      </c>
      <c r="F9" s="114">
        <f>Table24278910182025[[#This Row],[Column43]]/Table24278910182025[[#This Row],[Column422]]</f>
        <v>402.17391304347825</v>
      </c>
      <c r="J9" s="293" t="s">
        <v>116</v>
      </c>
      <c r="K9" s="297">
        <v>9250</v>
      </c>
    </row>
    <row r="10" spans="1:11" x14ac:dyDescent="0.25">
      <c r="A10" s="35"/>
      <c r="B10" s="162">
        <v>5</v>
      </c>
      <c r="C10" s="159" t="s">
        <v>96</v>
      </c>
      <c r="D10" s="118">
        <v>15</v>
      </c>
      <c r="E10" s="114">
        <v>8950</v>
      </c>
      <c r="F10" s="114">
        <f>Table24278910182025[[#This Row],[Column43]]/Table24278910182025[[#This Row],[Column422]]</f>
        <v>596.66666666666663</v>
      </c>
      <c r="J10" s="294" t="s">
        <v>96</v>
      </c>
      <c r="K10" s="297">
        <v>8950</v>
      </c>
    </row>
    <row r="11" spans="1:11" x14ac:dyDescent="0.25">
      <c r="A11" s="35"/>
      <c r="B11" s="163">
        <v>36</v>
      </c>
      <c r="C11" s="159" t="s">
        <v>127</v>
      </c>
      <c r="D11" s="118">
        <v>8</v>
      </c>
      <c r="E11" s="114">
        <v>8800</v>
      </c>
      <c r="F11" s="114">
        <f>Table24278910182025[[#This Row],[Column43]]/Table24278910182025[[#This Row],[Column422]]</f>
        <v>1100</v>
      </c>
      <c r="J11" s="293" t="s">
        <v>127</v>
      </c>
      <c r="K11" s="297">
        <v>8800</v>
      </c>
    </row>
    <row r="12" spans="1:11" x14ac:dyDescent="0.25">
      <c r="A12" s="35"/>
      <c r="B12" s="162">
        <v>9</v>
      </c>
      <c r="C12" s="159" t="s">
        <v>100</v>
      </c>
      <c r="D12" s="118">
        <v>6</v>
      </c>
      <c r="E12" s="114">
        <v>8400</v>
      </c>
      <c r="F12" s="114">
        <f>Table24278910182025[[#This Row],[Column43]]/Table24278910182025[[#This Row],[Column422]]</f>
        <v>1400</v>
      </c>
      <c r="J12" s="294" t="s">
        <v>100</v>
      </c>
      <c r="K12" s="297">
        <v>8400</v>
      </c>
    </row>
    <row r="13" spans="1:11" x14ac:dyDescent="0.25">
      <c r="A13" s="35"/>
      <c r="B13" s="163">
        <v>31</v>
      </c>
      <c r="C13" s="159" t="s">
        <v>122</v>
      </c>
      <c r="D13" s="118">
        <v>6</v>
      </c>
      <c r="E13" s="114">
        <v>8070</v>
      </c>
      <c r="F13" s="114">
        <f>Table24278910182025[[#This Row],[Column43]]/Table24278910182025[[#This Row],[Column422]]</f>
        <v>1345</v>
      </c>
      <c r="J13" s="293" t="s">
        <v>122</v>
      </c>
      <c r="K13" s="297">
        <v>8070</v>
      </c>
    </row>
    <row r="14" spans="1:11" x14ac:dyDescent="0.25">
      <c r="A14" s="35"/>
      <c r="B14" s="163">
        <v>22</v>
      </c>
      <c r="C14" s="159" t="s">
        <v>113</v>
      </c>
      <c r="D14" s="118">
        <v>8</v>
      </c>
      <c r="E14" s="114">
        <v>7050</v>
      </c>
      <c r="F14" s="114">
        <f>Table24278910182025[[#This Row],[Column43]]/Table24278910182025[[#This Row],[Column422]]</f>
        <v>881.25</v>
      </c>
      <c r="J14" s="294" t="s">
        <v>113</v>
      </c>
      <c r="K14" s="297">
        <v>7050</v>
      </c>
    </row>
    <row r="15" spans="1:11" x14ac:dyDescent="0.25">
      <c r="A15" s="35"/>
      <c r="B15" s="162">
        <v>4</v>
      </c>
      <c r="C15" s="159" t="s">
        <v>95</v>
      </c>
      <c r="D15" s="118">
        <v>8</v>
      </c>
      <c r="E15" s="114">
        <v>6900</v>
      </c>
      <c r="F15" s="114">
        <f>Table24278910182025[[#This Row],[Column43]]/Table24278910182025[[#This Row],[Column422]]</f>
        <v>862.5</v>
      </c>
      <c r="J15" s="293" t="s">
        <v>95</v>
      </c>
      <c r="K15" s="297">
        <v>6900</v>
      </c>
    </row>
    <row r="16" spans="1:11" x14ac:dyDescent="0.25">
      <c r="A16" s="35"/>
      <c r="B16" s="162">
        <v>10</v>
      </c>
      <c r="C16" s="159" t="s">
        <v>101</v>
      </c>
      <c r="D16" s="118">
        <v>8</v>
      </c>
      <c r="E16" s="114">
        <v>6700</v>
      </c>
      <c r="F16" s="114">
        <f>Table24278910182025[[#This Row],[Column43]]/Table24278910182025[[#This Row],[Column422]]</f>
        <v>837.5</v>
      </c>
      <c r="J16" s="294" t="s">
        <v>101</v>
      </c>
      <c r="K16" s="297">
        <v>6700</v>
      </c>
    </row>
    <row r="17" spans="1:11" x14ac:dyDescent="0.25">
      <c r="A17" s="35"/>
      <c r="B17" s="163">
        <v>38</v>
      </c>
      <c r="C17" s="159" t="s">
        <v>129</v>
      </c>
      <c r="D17" s="118">
        <v>8</v>
      </c>
      <c r="E17" s="114">
        <v>5800</v>
      </c>
      <c r="F17" s="114">
        <f>Table24278910182025[[#This Row],[Column43]]/Table24278910182025[[#This Row],[Column422]]</f>
        <v>725</v>
      </c>
      <c r="J17" s="293" t="s">
        <v>129</v>
      </c>
      <c r="K17" s="297">
        <v>5800</v>
      </c>
    </row>
    <row r="18" spans="1:11" x14ac:dyDescent="0.25">
      <c r="A18" s="35"/>
      <c r="B18" s="161">
        <v>15</v>
      </c>
      <c r="C18" s="159" t="s">
        <v>106</v>
      </c>
      <c r="D18" s="118">
        <v>7</v>
      </c>
      <c r="E18" s="114">
        <v>5700</v>
      </c>
      <c r="F18" s="114">
        <f>Table24278910182025[[#This Row],[Column43]]/Table24278910182025[[#This Row],[Column422]]</f>
        <v>814.28571428571433</v>
      </c>
      <c r="J18" s="294" t="s">
        <v>106</v>
      </c>
      <c r="K18" s="297">
        <v>5700</v>
      </c>
    </row>
    <row r="19" spans="1:11" x14ac:dyDescent="0.25">
      <c r="A19" s="35"/>
      <c r="B19" s="163">
        <v>24</v>
      </c>
      <c r="C19" s="159" t="s">
        <v>115</v>
      </c>
      <c r="D19" s="118">
        <v>7</v>
      </c>
      <c r="E19" s="114">
        <v>4800</v>
      </c>
      <c r="F19" s="114">
        <f>Table24278910182025[[#This Row],[Column43]]/Table24278910182025[[#This Row],[Column422]]</f>
        <v>685.71428571428567</v>
      </c>
      <c r="J19" s="293" t="s">
        <v>115</v>
      </c>
      <c r="K19" s="297">
        <v>4800</v>
      </c>
    </row>
    <row r="20" spans="1:11" x14ac:dyDescent="0.25">
      <c r="A20" s="35"/>
      <c r="B20" s="163">
        <v>17</v>
      </c>
      <c r="C20" s="159" t="s">
        <v>108</v>
      </c>
      <c r="D20" s="118">
        <v>9</v>
      </c>
      <c r="E20" s="114">
        <v>4473</v>
      </c>
      <c r="F20" s="114">
        <f>Table24278910182025[[#This Row],[Column43]]/Table24278910182025[[#This Row],[Column422]]</f>
        <v>497</v>
      </c>
      <c r="J20" s="294" t="s">
        <v>108</v>
      </c>
      <c r="K20" s="297">
        <v>4473</v>
      </c>
    </row>
    <row r="21" spans="1:11" x14ac:dyDescent="0.25">
      <c r="A21" s="35"/>
      <c r="B21" s="163">
        <v>26</v>
      </c>
      <c r="C21" s="159" t="s">
        <v>117</v>
      </c>
      <c r="D21" s="118">
        <v>8</v>
      </c>
      <c r="E21" s="114">
        <v>4000</v>
      </c>
      <c r="F21" s="114">
        <f>Table24278910182025[[#This Row],[Column43]]/Table24278910182025[[#This Row],[Column422]]</f>
        <v>500</v>
      </c>
      <c r="J21" s="293" t="s">
        <v>117</v>
      </c>
      <c r="K21" s="297">
        <v>4000</v>
      </c>
    </row>
    <row r="22" spans="1:11" x14ac:dyDescent="0.25">
      <c r="A22" s="35"/>
      <c r="B22" s="163">
        <v>39</v>
      </c>
      <c r="C22" s="159" t="s">
        <v>131</v>
      </c>
      <c r="D22" s="118">
        <v>4</v>
      </c>
      <c r="E22" s="114">
        <v>3800</v>
      </c>
      <c r="F22" s="114">
        <f>Table24278910182025[[#This Row],[Column43]]/Table24278910182025[[#This Row],[Column422]]</f>
        <v>950</v>
      </c>
      <c r="J22" s="294" t="s">
        <v>131</v>
      </c>
      <c r="K22" s="297">
        <v>3800</v>
      </c>
    </row>
    <row r="23" spans="1:11" x14ac:dyDescent="0.25">
      <c r="A23" s="35"/>
      <c r="B23" s="163">
        <v>27</v>
      </c>
      <c r="C23" s="159" t="s">
        <v>118</v>
      </c>
      <c r="D23" s="118">
        <v>11</v>
      </c>
      <c r="E23" s="114">
        <v>3500</v>
      </c>
      <c r="F23" s="114">
        <f>Table24278910182025[[#This Row],[Column43]]/Table24278910182025[[#This Row],[Column422]]</f>
        <v>318.18181818181819</v>
      </c>
      <c r="J23" s="293" t="s">
        <v>118</v>
      </c>
      <c r="K23" s="297">
        <v>3500</v>
      </c>
    </row>
    <row r="24" spans="1:11" x14ac:dyDescent="0.25">
      <c r="A24" s="35"/>
      <c r="B24" s="163">
        <v>34</v>
      </c>
      <c r="C24" s="159" t="s">
        <v>125</v>
      </c>
      <c r="D24" s="118">
        <v>6</v>
      </c>
      <c r="E24" s="114">
        <v>3300</v>
      </c>
      <c r="F24" s="114">
        <f>Table24278910182025[[#This Row],[Column43]]/Table24278910182025[[#This Row],[Column422]]</f>
        <v>550</v>
      </c>
      <c r="J24" s="294" t="s">
        <v>125</v>
      </c>
      <c r="K24" s="297">
        <v>3300</v>
      </c>
    </row>
    <row r="25" spans="1:11" x14ac:dyDescent="0.25">
      <c r="A25" s="35"/>
      <c r="B25" s="162">
        <v>14</v>
      </c>
      <c r="C25" s="159" t="s">
        <v>105</v>
      </c>
      <c r="D25" s="118">
        <v>14</v>
      </c>
      <c r="E25" s="114">
        <v>3250</v>
      </c>
      <c r="F25" s="114">
        <f>Table24278910182025[[#This Row],[Column43]]/Table24278910182025[[#This Row],[Column422]]</f>
        <v>232.14285714285714</v>
      </c>
      <c r="J25" s="293" t="s">
        <v>105</v>
      </c>
      <c r="K25" s="297">
        <v>3250</v>
      </c>
    </row>
    <row r="26" spans="1:11" x14ac:dyDescent="0.25">
      <c r="A26" s="35"/>
      <c r="B26" s="163">
        <v>29</v>
      </c>
      <c r="C26" s="159" t="s">
        <v>120</v>
      </c>
      <c r="D26" s="118">
        <v>8</v>
      </c>
      <c r="E26" s="114">
        <v>3226</v>
      </c>
      <c r="F26" s="114">
        <f>Table24278910182025[[#This Row],[Column43]]/Table24278910182025[[#This Row],[Column422]]</f>
        <v>403.25</v>
      </c>
      <c r="J26" s="294" t="s">
        <v>120</v>
      </c>
      <c r="K26" s="297">
        <v>3226</v>
      </c>
    </row>
    <row r="27" spans="1:11" x14ac:dyDescent="0.25">
      <c r="A27" s="35"/>
      <c r="B27" s="163">
        <v>33</v>
      </c>
      <c r="C27" s="159" t="s">
        <v>124</v>
      </c>
      <c r="D27" s="118">
        <v>8</v>
      </c>
      <c r="E27" s="114">
        <v>3050</v>
      </c>
      <c r="F27" s="114">
        <f>Table24278910182025[[#This Row],[Column43]]/Table24278910182025[[#This Row],[Column422]]</f>
        <v>381.25</v>
      </c>
      <c r="J27" s="293" t="s">
        <v>124</v>
      </c>
      <c r="K27" s="297">
        <v>3050</v>
      </c>
    </row>
    <row r="28" spans="1:11" x14ac:dyDescent="0.25">
      <c r="A28" s="35"/>
      <c r="B28" s="163">
        <v>21</v>
      </c>
      <c r="C28" s="159" t="s">
        <v>112</v>
      </c>
      <c r="D28" s="118">
        <v>8</v>
      </c>
      <c r="E28" s="114">
        <v>3000</v>
      </c>
      <c r="F28" s="114">
        <f>Table24278910182025[[#This Row],[Column43]]/Table24278910182025[[#This Row],[Column422]]</f>
        <v>375</v>
      </c>
      <c r="J28" s="294" t="s">
        <v>112</v>
      </c>
      <c r="K28" s="297">
        <v>3000</v>
      </c>
    </row>
    <row r="29" spans="1:11" x14ac:dyDescent="0.25">
      <c r="A29" s="35"/>
      <c r="B29" s="163">
        <v>35</v>
      </c>
      <c r="C29" s="159" t="s">
        <v>126</v>
      </c>
      <c r="D29" s="118">
        <v>8</v>
      </c>
      <c r="E29" s="114">
        <v>2900</v>
      </c>
      <c r="F29" s="114">
        <f>Table24278910182025[[#This Row],[Column43]]/Table24278910182025[[#This Row],[Column422]]</f>
        <v>362.5</v>
      </c>
      <c r="J29" s="293" t="s">
        <v>126</v>
      </c>
      <c r="K29" s="297">
        <v>2900</v>
      </c>
    </row>
    <row r="30" spans="1:11" x14ac:dyDescent="0.25">
      <c r="A30" s="35"/>
      <c r="B30" s="163">
        <v>18</v>
      </c>
      <c r="C30" s="159" t="s">
        <v>109</v>
      </c>
      <c r="D30" s="118">
        <v>8</v>
      </c>
      <c r="E30" s="114">
        <v>2800</v>
      </c>
      <c r="F30" s="114">
        <f>Table24278910182025[[#This Row],[Column43]]/Table24278910182025[[#This Row],[Column422]]</f>
        <v>350</v>
      </c>
      <c r="J30" s="294" t="s">
        <v>109</v>
      </c>
      <c r="K30" s="297">
        <v>2800</v>
      </c>
    </row>
    <row r="31" spans="1:11" x14ac:dyDescent="0.25">
      <c r="A31" s="35"/>
      <c r="B31" s="163">
        <v>28</v>
      </c>
      <c r="C31" s="159" t="s">
        <v>119</v>
      </c>
      <c r="D31" s="118">
        <v>8</v>
      </c>
      <c r="E31" s="114">
        <v>2450</v>
      </c>
      <c r="F31" s="114">
        <f>Table24278910182025[[#This Row],[Column43]]/Table24278910182025[[#This Row],[Column422]]</f>
        <v>306.25</v>
      </c>
      <c r="J31" s="293" t="s">
        <v>119</v>
      </c>
      <c r="K31" s="297">
        <v>2450</v>
      </c>
    </row>
    <row r="32" spans="1:11" x14ac:dyDescent="0.25">
      <c r="A32" s="35"/>
      <c r="B32" s="163">
        <v>37</v>
      </c>
      <c r="C32" s="159" t="s">
        <v>128</v>
      </c>
      <c r="D32" s="118">
        <v>8</v>
      </c>
      <c r="E32" s="114">
        <v>2218</v>
      </c>
      <c r="F32" s="114">
        <f>Table24278910182025[[#This Row],[Column43]]/Table24278910182025[[#This Row],[Column422]]</f>
        <v>277.25</v>
      </c>
      <c r="J32" s="294" t="s">
        <v>128</v>
      </c>
      <c r="K32" s="297">
        <v>2218</v>
      </c>
    </row>
    <row r="33" spans="1:11" x14ac:dyDescent="0.25">
      <c r="A33" s="35"/>
      <c r="B33" s="161">
        <v>8</v>
      </c>
      <c r="C33" s="159" t="s">
        <v>99</v>
      </c>
      <c r="D33" s="118">
        <v>6</v>
      </c>
      <c r="E33" s="114">
        <v>2100</v>
      </c>
      <c r="F33" s="114">
        <f>Table24278910182025[[#This Row],[Column43]]/Table24278910182025[[#This Row],[Column422]]</f>
        <v>350</v>
      </c>
      <c r="J33" s="293" t="s">
        <v>99</v>
      </c>
      <c r="K33" s="297">
        <v>2100</v>
      </c>
    </row>
    <row r="34" spans="1:11" x14ac:dyDescent="0.25">
      <c r="A34" s="35"/>
      <c r="B34" s="163">
        <v>23</v>
      </c>
      <c r="C34" s="159" t="s">
        <v>114</v>
      </c>
      <c r="D34" s="118">
        <v>5</v>
      </c>
      <c r="E34" s="114">
        <v>1900</v>
      </c>
      <c r="F34" s="114">
        <f>Table24278910182025[[#This Row],[Column43]]/Table24278910182025[[#This Row],[Column422]]</f>
        <v>380</v>
      </c>
      <c r="J34" s="294" t="s">
        <v>114</v>
      </c>
      <c r="K34" s="297">
        <v>1900</v>
      </c>
    </row>
    <row r="35" spans="1:11" x14ac:dyDescent="0.25">
      <c r="A35" s="35"/>
      <c r="B35" s="161">
        <v>12</v>
      </c>
      <c r="C35" s="159" t="s">
        <v>103</v>
      </c>
      <c r="D35" s="118">
        <v>8</v>
      </c>
      <c r="E35" s="114">
        <v>1750</v>
      </c>
      <c r="F35" s="114">
        <f>Table24278910182025[[#This Row],[Column43]]/Table24278910182025[[#This Row],[Column422]]</f>
        <v>218.75</v>
      </c>
      <c r="J35" s="293" t="s">
        <v>103</v>
      </c>
      <c r="K35" s="297">
        <v>1750</v>
      </c>
    </row>
    <row r="36" spans="1:11" x14ac:dyDescent="0.25">
      <c r="A36" s="35"/>
      <c r="B36" s="161">
        <v>11</v>
      </c>
      <c r="C36" s="159" t="s">
        <v>102</v>
      </c>
      <c r="D36" s="118">
        <v>7</v>
      </c>
      <c r="E36" s="114">
        <v>1730</v>
      </c>
      <c r="F36" s="114">
        <f>Table24278910182025[[#This Row],[Column43]]/Table24278910182025[[#This Row],[Column422]]</f>
        <v>247.14285714285714</v>
      </c>
      <c r="J36" s="294" t="s">
        <v>102</v>
      </c>
      <c r="K36" s="297">
        <v>1730</v>
      </c>
    </row>
    <row r="37" spans="1:11" x14ac:dyDescent="0.25">
      <c r="A37" s="35"/>
      <c r="B37" s="163">
        <v>19</v>
      </c>
      <c r="C37" s="159" t="s">
        <v>110</v>
      </c>
      <c r="D37" s="118">
        <v>8</v>
      </c>
      <c r="E37" s="114">
        <v>1700</v>
      </c>
      <c r="F37" s="114">
        <f>Table24278910182025[[#This Row],[Column43]]/Table24278910182025[[#This Row],[Column422]]</f>
        <v>212.5</v>
      </c>
      <c r="J37" s="293" t="s">
        <v>110</v>
      </c>
      <c r="K37" s="114">
        <v>1700</v>
      </c>
    </row>
    <row r="38" spans="1:11" x14ac:dyDescent="0.25">
      <c r="A38" s="35"/>
      <c r="B38" s="162">
        <v>7</v>
      </c>
      <c r="C38" s="159" t="s">
        <v>98</v>
      </c>
      <c r="D38" s="118">
        <v>8</v>
      </c>
      <c r="E38" s="114">
        <v>1600</v>
      </c>
      <c r="F38" s="114">
        <f>Table24278910182025[[#This Row],[Column43]]/Table24278910182025[[#This Row],[Column422]]</f>
        <v>200</v>
      </c>
      <c r="J38" s="294" t="s">
        <v>98</v>
      </c>
      <c r="K38" s="114">
        <v>1600</v>
      </c>
    </row>
    <row r="39" spans="1:11" x14ac:dyDescent="0.25">
      <c r="A39" s="35"/>
      <c r="B39" s="163">
        <v>16</v>
      </c>
      <c r="C39" s="159" t="s">
        <v>107</v>
      </c>
      <c r="D39" s="118">
        <v>6</v>
      </c>
      <c r="E39" s="114">
        <v>1500</v>
      </c>
      <c r="F39" s="114">
        <f>Table24278910182025[[#This Row],[Column43]]/Table24278910182025[[#This Row],[Column422]]</f>
        <v>250</v>
      </c>
      <c r="J39" s="293" t="s">
        <v>107</v>
      </c>
      <c r="K39" s="114">
        <v>1500</v>
      </c>
    </row>
    <row r="40" spans="1:11" x14ac:dyDescent="0.25">
      <c r="A40" s="35"/>
      <c r="B40" s="163">
        <v>32</v>
      </c>
      <c r="C40" s="159" t="s">
        <v>123</v>
      </c>
      <c r="D40" s="118">
        <v>6</v>
      </c>
      <c r="E40" s="114">
        <v>1400</v>
      </c>
      <c r="F40" s="114">
        <f>Table24278910182025[[#This Row],[Column43]]/Table24278910182025[[#This Row],[Column422]]</f>
        <v>233.33333333333334</v>
      </c>
      <c r="J40" s="294" t="s">
        <v>123</v>
      </c>
      <c r="K40" s="114">
        <v>1400</v>
      </c>
    </row>
    <row r="41" spans="1:11" x14ac:dyDescent="0.25">
      <c r="A41" s="35"/>
      <c r="B41" s="162">
        <v>6</v>
      </c>
      <c r="C41" s="159" t="s">
        <v>97</v>
      </c>
      <c r="D41" s="118">
        <v>6</v>
      </c>
      <c r="E41" s="114">
        <v>1300</v>
      </c>
      <c r="F41" s="114">
        <f>Table24278910182025[[#This Row],[Column43]]/Table24278910182025[[#This Row],[Column422]]</f>
        <v>216.66666666666666</v>
      </c>
      <c r="J41" s="293" t="s">
        <v>97</v>
      </c>
      <c r="K41" s="114">
        <v>1300</v>
      </c>
    </row>
    <row r="42" spans="1:11" ht="15.75" thickBot="1" x14ac:dyDescent="0.3">
      <c r="A42" s="35"/>
      <c r="B42" s="134">
        <v>40</v>
      </c>
      <c r="C42" s="160" t="s">
        <v>130</v>
      </c>
      <c r="D42" s="119">
        <v>3</v>
      </c>
      <c r="E42" s="115">
        <v>1137</v>
      </c>
      <c r="F42" s="115">
        <f>Table24278910182025[[#This Row],[Column43]]/Table24278910182025[[#This Row],[Column422]]</f>
        <v>379</v>
      </c>
      <c r="J42" s="295" t="s">
        <v>130</v>
      </c>
      <c r="K42" s="114">
        <v>1137</v>
      </c>
    </row>
    <row r="43" spans="1:11" ht="15.75" thickTop="1" x14ac:dyDescent="0.25">
      <c r="A43" s="35"/>
      <c r="B43" s="163">
        <v>20</v>
      </c>
      <c r="C43" s="159" t="s">
        <v>111</v>
      </c>
      <c r="D43" s="118">
        <v>2</v>
      </c>
      <c r="E43" s="114">
        <v>600</v>
      </c>
      <c r="F43" s="114">
        <f>Table24278910182025[[#This Row],[Column43]]/Table24278910182025[[#This Row],[Column422]]</f>
        <v>300</v>
      </c>
      <c r="J43" s="293" t="s">
        <v>111</v>
      </c>
      <c r="K43" s="114">
        <v>600</v>
      </c>
    </row>
    <row r="44" spans="1:11" x14ac:dyDescent="0.25">
      <c r="A44" s="35"/>
      <c r="B44" s="161">
        <v>13</v>
      </c>
      <c r="C44" s="159" t="s">
        <v>104</v>
      </c>
      <c r="D44" s="118">
        <v>2</v>
      </c>
      <c r="E44" s="114">
        <v>300</v>
      </c>
      <c r="F44" s="114">
        <f>Table24278910182025[[#This Row],[Column43]]/Table24278910182025[[#This Row],[Column422]]</f>
        <v>150</v>
      </c>
      <c r="J44" s="294" t="s">
        <v>104</v>
      </c>
      <c r="K44" s="114">
        <v>300</v>
      </c>
    </row>
    <row r="45" spans="1:11" x14ac:dyDescent="0.25">
      <c r="A45" s="35"/>
      <c r="B45" s="161">
        <v>1</v>
      </c>
      <c r="C45" s="127" t="s">
        <v>92</v>
      </c>
      <c r="D45" s="117">
        <v>1</v>
      </c>
      <c r="E45" s="113">
        <v>200</v>
      </c>
      <c r="F45" s="113">
        <f>Table24278910182025[[#This Row],[Column43]]/Table24278910182025[[#This Row],[Column422]]</f>
        <v>200</v>
      </c>
      <c r="J45" s="291" t="s">
        <v>92</v>
      </c>
      <c r="K45" s="113">
        <v>200</v>
      </c>
    </row>
    <row r="46" spans="1:11" ht="15.75" thickBot="1" x14ac:dyDescent="0.3">
      <c r="A46" s="35"/>
      <c r="B46" s="162">
        <v>2</v>
      </c>
      <c r="C46" s="127" t="s">
        <v>93</v>
      </c>
      <c r="D46" s="117">
        <v>1</v>
      </c>
      <c r="E46" s="113">
        <v>0</v>
      </c>
      <c r="F46" s="113">
        <f>Table24278910182025[[#This Row],[Column43]]/Table24278910182025[[#This Row],[Column422]]</f>
        <v>0</v>
      </c>
      <c r="J46" s="292" t="s">
        <v>93</v>
      </c>
      <c r="K46" s="296">
        <v>0</v>
      </c>
    </row>
    <row r="47" spans="1:11" ht="20.25" thickTop="1" thickBot="1" x14ac:dyDescent="0.3">
      <c r="B47" s="235" t="s">
        <v>187</v>
      </c>
      <c r="C47" s="236"/>
      <c r="D47" s="237"/>
      <c r="E47" s="120">
        <f>SUM(Table24278910182025[Column43])</f>
        <v>164354</v>
      </c>
      <c r="F47" s="298"/>
    </row>
    <row r="48" spans="1:11" ht="15.75" thickTop="1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</sheetData>
  <sortState ref="K7:K46">
    <sortCondition descending="1" ref="K7"/>
  </sortState>
  <mergeCells count="10">
    <mergeCell ref="B47:D47"/>
    <mergeCell ref="B2:K2"/>
    <mergeCell ref="B4:B5"/>
    <mergeCell ref="C4:C5"/>
    <mergeCell ref="E4:E5"/>
    <mergeCell ref="D4:D5"/>
    <mergeCell ref="F4:F5"/>
    <mergeCell ref="J4:J5"/>
    <mergeCell ref="K4:K5"/>
    <mergeCell ref="J3:K3"/>
  </mergeCells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85"/>
  <sheetViews>
    <sheetView topLeftCell="A49" workbookViewId="0">
      <selection activeCell="B59" sqref="B59:F70"/>
    </sheetView>
  </sheetViews>
  <sheetFormatPr defaultColWidth="0" defaultRowHeight="15" zeroHeight="1" x14ac:dyDescent="0.25"/>
  <cols>
    <col min="1" max="1" width="9.140625" customWidth="1"/>
    <col min="2" max="2" width="32.42578125" customWidth="1"/>
    <col min="3" max="3" width="13.140625" customWidth="1"/>
    <col min="4" max="4" width="26" customWidth="1"/>
    <col min="5" max="5" width="11.7109375" customWidth="1"/>
    <col min="6" max="6" width="11.5703125" customWidth="1"/>
    <col min="7" max="9" width="9.140625" customWidth="1"/>
    <col min="10" max="16384" width="9.140625" hidden="1"/>
  </cols>
  <sheetData>
    <row r="1" spans="1:9" x14ac:dyDescent="0.25"/>
    <row r="2" spans="1:9" ht="30.75" customHeight="1" x14ac:dyDescent="0.25">
      <c r="B2" s="247" t="s">
        <v>157</v>
      </c>
      <c r="C2" s="247"/>
      <c r="D2" s="247"/>
      <c r="E2" s="247"/>
      <c r="F2" s="247"/>
      <c r="G2" s="247"/>
      <c r="H2" s="247"/>
      <c r="I2" s="247"/>
    </row>
    <row r="3" spans="1:9" x14ac:dyDescent="0.25"/>
    <row r="4" spans="1:9" x14ac:dyDescent="0.25">
      <c r="A4" s="158" t="s">
        <v>37</v>
      </c>
      <c r="B4" s="245" t="s">
        <v>158</v>
      </c>
      <c r="C4" s="245"/>
      <c r="D4" s="245"/>
      <c r="E4" s="245"/>
      <c r="F4" s="245"/>
    </row>
    <row r="5" spans="1:9" ht="15.75" thickBot="1" x14ac:dyDescent="0.3"/>
    <row r="6" spans="1:9" ht="15.75" thickTop="1" x14ac:dyDescent="0.25">
      <c r="B6" s="217" t="s">
        <v>147</v>
      </c>
      <c r="C6" s="228"/>
      <c r="D6" s="228" t="s">
        <v>159</v>
      </c>
      <c r="E6" s="231" t="s">
        <v>29</v>
      </c>
      <c r="F6" s="232"/>
    </row>
    <row r="7" spans="1:9" ht="15.75" thickBot="1" x14ac:dyDescent="0.3">
      <c r="B7" s="229"/>
      <c r="C7" s="230"/>
      <c r="D7" s="230"/>
      <c r="E7" s="233"/>
      <c r="F7" s="234"/>
    </row>
    <row r="8" spans="1:9" ht="15.75" hidden="1" thickTop="1" x14ac:dyDescent="0.25">
      <c r="B8" s="86" t="s">
        <v>9</v>
      </c>
      <c r="C8" s="87" t="s">
        <v>10</v>
      </c>
      <c r="D8" s="24" t="s">
        <v>11</v>
      </c>
      <c r="E8" s="13" t="s">
        <v>15</v>
      </c>
      <c r="F8" s="56" t="s">
        <v>13</v>
      </c>
    </row>
    <row r="9" spans="1:9" ht="16.5" thickTop="1" thickBot="1" x14ac:dyDescent="0.3">
      <c r="B9" s="300" t="s">
        <v>148</v>
      </c>
      <c r="C9" s="103" t="s">
        <v>25</v>
      </c>
      <c r="D9" s="99">
        <v>22</v>
      </c>
      <c r="E9" s="285">
        <v>0.84599999999999997</v>
      </c>
      <c r="F9" s="95"/>
    </row>
    <row r="10" spans="1:9" ht="16.5" thickTop="1" thickBot="1" x14ac:dyDescent="0.3">
      <c r="B10" s="32"/>
      <c r="C10" s="102" t="s">
        <v>40</v>
      </c>
      <c r="D10" s="98">
        <v>4</v>
      </c>
      <c r="E10" s="286">
        <v>0.154</v>
      </c>
      <c r="F10" s="90"/>
    </row>
    <row r="11" spans="1:9" ht="17.25" thickTop="1" thickBot="1" x14ac:dyDescent="0.3">
      <c r="A11" s="35"/>
      <c r="B11" s="301" t="s">
        <v>28</v>
      </c>
      <c r="C11" s="104"/>
      <c r="D11" s="302">
        <f>SUM(D10:D10)</f>
        <v>4</v>
      </c>
      <c r="E11" s="303">
        <v>1</v>
      </c>
      <c r="F11" s="88"/>
    </row>
    <row r="12" spans="1:9" ht="16.5" thickTop="1" thickBot="1" x14ac:dyDescent="0.3">
      <c r="B12" s="288" t="s">
        <v>149</v>
      </c>
      <c r="C12" s="99" t="s">
        <v>21</v>
      </c>
      <c r="D12" s="99">
        <v>19</v>
      </c>
      <c r="E12" s="285">
        <v>0.73099999999999998</v>
      </c>
      <c r="F12" s="95"/>
    </row>
    <row r="13" spans="1:9" ht="16.5" thickTop="1" thickBot="1" x14ac:dyDescent="0.3">
      <c r="B13" s="93"/>
      <c r="C13" s="105" t="s">
        <v>20</v>
      </c>
      <c r="D13" s="107">
        <v>7</v>
      </c>
      <c r="E13" s="290">
        <v>0.26900000000000002</v>
      </c>
      <c r="F13" s="96"/>
    </row>
    <row r="14" spans="1:9" ht="20.25" thickTop="1" thickBot="1" x14ac:dyDescent="0.3">
      <c r="B14" s="109" t="s">
        <v>28</v>
      </c>
      <c r="C14" s="100"/>
      <c r="D14" s="101">
        <f>SUM(D13:D13)</f>
        <v>7</v>
      </c>
      <c r="E14" s="304">
        <v>1</v>
      </c>
      <c r="F14" s="92"/>
    </row>
    <row r="15" spans="1:9" ht="15.75" thickTop="1" x14ac:dyDescent="0.25"/>
    <row r="16" spans="1:9" x14ac:dyDescent="0.25">
      <c r="A16" s="158" t="s">
        <v>38</v>
      </c>
      <c r="B16" s="245" t="s">
        <v>160</v>
      </c>
      <c r="C16" s="245"/>
      <c r="D16" s="245"/>
      <c r="E16" s="245"/>
      <c r="F16" s="245"/>
    </row>
    <row r="17" spans="1:7" x14ac:dyDescent="0.25"/>
    <row r="18" spans="1:7" ht="15.75" thickBot="1" x14ac:dyDescent="0.3">
      <c r="B18" s="216" t="s">
        <v>34</v>
      </c>
      <c r="C18" s="216"/>
      <c r="D18" s="54"/>
      <c r="E18" s="54"/>
      <c r="F18" s="54"/>
    </row>
    <row r="19" spans="1:7" ht="16.5" thickTop="1" thickBot="1" x14ac:dyDescent="0.3">
      <c r="B19" s="217" t="s">
        <v>161</v>
      </c>
      <c r="C19" s="197" t="s">
        <v>32</v>
      </c>
      <c r="D19" s="198"/>
      <c r="E19" s="205" t="s">
        <v>29</v>
      </c>
      <c r="F19" s="202" t="s">
        <v>16</v>
      </c>
    </row>
    <row r="20" spans="1:7" ht="16.5" thickTop="1" thickBot="1" x14ac:dyDescent="0.3">
      <c r="A20" s="35"/>
      <c r="B20" s="248"/>
      <c r="C20" s="42" t="s">
        <v>40</v>
      </c>
      <c r="D20" s="43" t="s">
        <v>25</v>
      </c>
      <c r="E20" s="205"/>
      <c r="F20" s="211"/>
    </row>
    <row r="21" spans="1:7" ht="15.75" hidden="1" thickTop="1" x14ac:dyDescent="0.25">
      <c r="A21" s="35"/>
      <c r="B21" s="58" t="s">
        <v>9</v>
      </c>
      <c r="C21" s="2" t="s">
        <v>10</v>
      </c>
      <c r="D21" s="24" t="s">
        <v>11</v>
      </c>
      <c r="E21" s="13" t="s">
        <v>15</v>
      </c>
      <c r="F21" s="56" t="s">
        <v>13</v>
      </c>
      <c r="G21" t="s">
        <v>206</v>
      </c>
    </row>
    <row r="22" spans="1:7" ht="23.25" customHeight="1" thickTop="1" x14ac:dyDescent="0.25">
      <c r="A22" s="35"/>
      <c r="B22" s="85" t="s">
        <v>164</v>
      </c>
      <c r="C22" s="71">
        <v>4</v>
      </c>
      <c r="D22" s="71">
        <v>78</v>
      </c>
      <c r="E22" s="282">
        <v>0.52900000000000003</v>
      </c>
      <c r="F22" s="52">
        <f>Table2427811121317671527[[#This Row],[Column2]]+Table2427811121317671527[[#This Row],[Column3]]</f>
        <v>82</v>
      </c>
      <c r="G22" s="29"/>
    </row>
    <row r="23" spans="1:7" x14ac:dyDescent="0.25">
      <c r="A23" s="35"/>
      <c r="B23" s="46" t="s">
        <v>162</v>
      </c>
      <c r="C23" s="25">
        <v>3</v>
      </c>
      <c r="D23" s="25">
        <v>19</v>
      </c>
      <c r="E23" s="279">
        <v>0.14199999999999999</v>
      </c>
      <c r="F23" s="52">
        <f>Table2427811121317671527[[#This Row],[Column2]]+Table2427811121317671527[[#This Row],[Column3]]</f>
        <v>22</v>
      </c>
      <c r="G23" s="29"/>
    </row>
    <row r="24" spans="1:7" x14ac:dyDescent="0.25">
      <c r="A24" s="35"/>
      <c r="B24" s="46" t="s">
        <v>163</v>
      </c>
      <c r="C24" s="71">
        <v>1</v>
      </c>
      <c r="D24" s="71">
        <v>15</v>
      </c>
      <c r="E24" s="282">
        <v>0.10299999999999999</v>
      </c>
      <c r="F24" s="52">
        <f>Table2427811121317671527[[#This Row],[Column2]]+Table2427811121317671527[[#This Row],[Column3]]</f>
        <v>16</v>
      </c>
      <c r="G24" s="29"/>
    </row>
    <row r="25" spans="1:7" x14ac:dyDescent="0.25">
      <c r="A25" s="35"/>
      <c r="B25" s="27" t="s">
        <v>166</v>
      </c>
      <c r="C25" s="71">
        <v>0</v>
      </c>
      <c r="D25" s="71">
        <v>14</v>
      </c>
      <c r="E25" s="282">
        <v>0.09</v>
      </c>
      <c r="F25" s="52">
        <f>Table2427811121317671527[[#This Row],[Column2]]+Table2427811121317671527[[#This Row],[Column3]]</f>
        <v>14</v>
      </c>
      <c r="G25" s="29"/>
    </row>
    <row r="26" spans="1:7" x14ac:dyDescent="0.25">
      <c r="A26" s="35"/>
      <c r="B26" s="27" t="s">
        <v>165</v>
      </c>
      <c r="C26" s="71">
        <v>0</v>
      </c>
      <c r="D26" s="71">
        <v>11</v>
      </c>
      <c r="E26" s="282">
        <v>7.1999999999999995E-2</v>
      </c>
      <c r="F26" s="52">
        <f>Table2427811121317671527[[#This Row],[Column2]]+Table2427811121317671527[[#This Row],[Column3]]</f>
        <v>11</v>
      </c>
      <c r="G26" s="29"/>
    </row>
    <row r="27" spans="1:7" x14ac:dyDescent="0.25">
      <c r="A27" s="35"/>
      <c r="B27" s="27" t="s">
        <v>168</v>
      </c>
      <c r="C27" s="71">
        <v>2</v>
      </c>
      <c r="D27" s="71">
        <v>6</v>
      </c>
      <c r="E27" s="282">
        <v>5.1999999999999998E-2</v>
      </c>
      <c r="F27" s="52">
        <f>Table2427811121317671527[[#This Row],[Column2]]+Table2427811121317671527[[#This Row],[Column3]]</f>
        <v>8</v>
      </c>
      <c r="G27" s="29"/>
    </row>
    <row r="28" spans="1:7" x14ac:dyDescent="0.25">
      <c r="A28" s="35"/>
      <c r="B28" s="27" t="s">
        <v>167</v>
      </c>
      <c r="C28" s="71">
        <v>1</v>
      </c>
      <c r="D28" s="71">
        <v>0</v>
      </c>
      <c r="E28" s="282">
        <v>6.0000000000000001E-3</v>
      </c>
      <c r="F28" s="52">
        <f>Table2427811121317671527[[#This Row],[Column2]]+Table2427811121317671527[[#This Row],[Column3]]</f>
        <v>1</v>
      </c>
      <c r="G28" s="29"/>
    </row>
    <row r="29" spans="1:7" ht="15.75" thickBot="1" x14ac:dyDescent="0.3">
      <c r="A29" s="35"/>
      <c r="B29" s="27" t="s">
        <v>169</v>
      </c>
      <c r="C29" s="76">
        <v>1</v>
      </c>
      <c r="D29" s="71">
        <v>0</v>
      </c>
      <c r="E29" s="282">
        <v>6.0000000000000001E-3</v>
      </c>
      <c r="F29" s="52">
        <f>Table2427811121317671527[[#This Row],[Column2]]+Table2427811121317671527[[#This Row],[Column3]]</f>
        <v>1</v>
      </c>
      <c r="G29" s="29"/>
    </row>
    <row r="30" spans="1:7" ht="16.5" thickTop="1" thickBot="1" x14ac:dyDescent="0.3">
      <c r="B30" s="84" t="s">
        <v>28</v>
      </c>
      <c r="C30" s="77">
        <f>SUM(C23:C29)</f>
        <v>8</v>
      </c>
      <c r="D30" s="77">
        <f>SUM(D23:D29)</f>
        <v>65</v>
      </c>
      <c r="E30" s="83">
        <f>SUM(E23:E29)</f>
        <v>0.47099999999999997</v>
      </c>
      <c r="F30" s="80">
        <f>SUM(F22:F29)</f>
        <v>155</v>
      </c>
      <c r="G30" s="29"/>
    </row>
    <row r="31" spans="1:7" ht="15.75" thickTop="1" x14ac:dyDescent="0.25"/>
    <row r="32" spans="1:7" x14ac:dyDescent="0.25"/>
    <row r="33" spans="1:6" ht="34.5" customHeight="1" x14ac:dyDescent="0.25">
      <c r="A33" s="69" t="s">
        <v>39</v>
      </c>
      <c r="B33" s="249" t="s">
        <v>170</v>
      </c>
      <c r="C33" s="249"/>
      <c r="D33" s="249"/>
      <c r="E33" s="249"/>
      <c r="F33" s="249"/>
    </row>
    <row r="34" spans="1:6" x14ac:dyDescent="0.25"/>
    <row r="35" spans="1:6" ht="15.75" thickBot="1" x14ac:dyDescent="0.3">
      <c r="B35" s="216" t="s">
        <v>34</v>
      </c>
      <c r="C35" s="216"/>
      <c r="D35" s="54"/>
      <c r="E35" s="54"/>
      <c r="F35" s="54"/>
    </row>
    <row r="36" spans="1:6" ht="16.5" thickTop="1" thickBot="1" x14ac:dyDescent="0.3">
      <c r="B36" s="217" t="s">
        <v>171</v>
      </c>
      <c r="C36" s="197" t="s">
        <v>32</v>
      </c>
      <c r="D36" s="198"/>
      <c r="E36" s="205" t="s">
        <v>29</v>
      </c>
      <c r="F36" s="202" t="s">
        <v>16</v>
      </c>
    </row>
    <row r="37" spans="1:6" ht="16.5" thickTop="1" thickBot="1" x14ac:dyDescent="0.3">
      <c r="A37" s="35"/>
      <c r="B37" s="248"/>
      <c r="C37" s="42" t="s">
        <v>40</v>
      </c>
      <c r="D37" s="43" t="s">
        <v>25</v>
      </c>
      <c r="E37" s="205"/>
      <c r="F37" s="211"/>
    </row>
    <row r="38" spans="1:6" ht="15.75" hidden="1" thickTop="1" x14ac:dyDescent="0.25">
      <c r="A38" s="35"/>
      <c r="B38" s="58" t="s">
        <v>9</v>
      </c>
      <c r="C38" s="2" t="s">
        <v>10</v>
      </c>
      <c r="D38" s="24" t="s">
        <v>11</v>
      </c>
      <c r="E38" s="13" t="s">
        <v>15</v>
      </c>
      <c r="F38" s="56" t="s">
        <v>13</v>
      </c>
    </row>
    <row r="39" spans="1:6" ht="15.75" thickTop="1" x14ac:dyDescent="0.25">
      <c r="A39" s="35"/>
      <c r="B39" s="46" t="s">
        <v>172</v>
      </c>
      <c r="C39" s="25">
        <v>30</v>
      </c>
      <c r="D39" s="25">
        <v>240</v>
      </c>
      <c r="E39" s="279">
        <v>0.81100000000000005</v>
      </c>
      <c r="F39" s="52">
        <f>Table242781112131767152728[[#This Row],[Column2]]+Table242781112131767152728[[#This Row],[Column3]]</f>
        <v>270</v>
      </c>
    </row>
    <row r="40" spans="1:6" x14ac:dyDescent="0.25">
      <c r="A40" s="35"/>
      <c r="B40" s="85" t="s">
        <v>174</v>
      </c>
      <c r="C40" s="71">
        <v>4</v>
      </c>
      <c r="D40" s="71">
        <v>36</v>
      </c>
      <c r="E40" s="282">
        <v>0.12</v>
      </c>
      <c r="F40" s="52">
        <f>Table242781112131767152728[[#This Row],[Column2]]+Table242781112131767152728[[#This Row],[Column3]]</f>
        <v>40</v>
      </c>
    </row>
    <row r="41" spans="1:6" x14ac:dyDescent="0.25">
      <c r="A41" s="35"/>
      <c r="B41" s="33" t="s">
        <v>175</v>
      </c>
      <c r="C41" s="71">
        <v>4</v>
      </c>
      <c r="D41" s="71">
        <v>9</v>
      </c>
      <c r="E41" s="282">
        <v>3.9E-2</v>
      </c>
      <c r="F41" s="52">
        <f>Table242781112131767152728[[#This Row],[Column2]]+Table242781112131767152728[[#This Row],[Column3]]</f>
        <v>13</v>
      </c>
    </row>
    <row r="42" spans="1:6" x14ac:dyDescent="0.25">
      <c r="A42" s="35"/>
      <c r="B42" s="33" t="s">
        <v>177</v>
      </c>
      <c r="C42" s="71">
        <v>0</v>
      </c>
      <c r="D42" s="71">
        <v>4</v>
      </c>
      <c r="E42" s="282">
        <v>1.2E-2</v>
      </c>
      <c r="F42" s="52">
        <f>Table242781112131767152728[[#This Row],[Column2]]+Table242781112131767152728[[#This Row],[Column3]]</f>
        <v>4</v>
      </c>
    </row>
    <row r="43" spans="1:6" x14ac:dyDescent="0.25">
      <c r="A43" s="35"/>
      <c r="B43" s="46" t="s">
        <v>173</v>
      </c>
      <c r="C43" s="71">
        <v>0</v>
      </c>
      <c r="D43" s="71">
        <v>3</v>
      </c>
      <c r="E43" s="282">
        <v>8.9999999999999993E-3</v>
      </c>
      <c r="F43" s="52">
        <f>Table242781112131767152728[[#This Row],[Column2]]+Table242781112131767152728[[#This Row],[Column3]]</f>
        <v>3</v>
      </c>
    </row>
    <row r="44" spans="1:6" x14ac:dyDescent="0.25">
      <c r="A44" s="35"/>
      <c r="B44" s="33" t="s">
        <v>178</v>
      </c>
      <c r="C44" s="76">
        <v>0</v>
      </c>
      <c r="D44" s="71">
        <v>2</v>
      </c>
      <c r="E44" s="282">
        <v>6.0000000000000001E-3</v>
      </c>
      <c r="F44" s="52">
        <f>Table242781112131767152728[[#This Row],[Column2]]+Table242781112131767152728[[#This Row],[Column3]]</f>
        <v>2</v>
      </c>
    </row>
    <row r="45" spans="1:6" ht="15.75" thickBot="1" x14ac:dyDescent="0.3">
      <c r="A45" s="35"/>
      <c r="B45" s="33" t="s">
        <v>176</v>
      </c>
      <c r="C45" s="71">
        <v>1</v>
      </c>
      <c r="D45" s="71">
        <v>0</v>
      </c>
      <c r="E45" s="282">
        <v>3.0000000000000001E-3</v>
      </c>
      <c r="F45" s="52">
        <f>Table242781112131767152728[[#This Row],[Column2]]+Table242781112131767152728[[#This Row],[Column3]]</f>
        <v>1</v>
      </c>
    </row>
    <row r="46" spans="1:6" ht="16.5" thickTop="1" thickBot="1" x14ac:dyDescent="0.3">
      <c r="B46" s="84" t="s">
        <v>28</v>
      </c>
      <c r="C46" s="77">
        <f>SUM(C39:C45)</f>
        <v>39</v>
      </c>
      <c r="D46" s="77">
        <f>SUM(D39:D45)</f>
        <v>294</v>
      </c>
      <c r="E46" s="83">
        <f>SUM(E39:E45)</f>
        <v>1</v>
      </c>
      <c r="F46" s="80">
        <f>SUM(F39:F45)</f>
        <v>333</v>
      </c>
    </row>
    <row r="47" spans="1:6" ht="15.75" thickTop="1" x14ac:dyDescent="0.25"/>
    <row r="48" spans="1:6" x14ac:dyDescent="0.25"/>
    <row r="49" spans="1:7" x14ac:dyDescent="0.25">
      <c r="A49" s="157" t="s">
        <v>192</v>
      </c>
      <c r="B49" s="219" t="s">
        <v>191</v>
      </c>
      <c r="C49" s="219"/>
      <c r="D49" s="219"/>
      <c r="E49" s="219"/>
      <c r="F49" s="219"/>
    </row>
    <row r="50" spans="1:7" x14ac:dyDescent="0.25"/>
    <row r="51" spans="1:7" x14ac:dyDescent="0.25">
      <c r="C51" s="246" t="s">
        <v>195</v>
      </c>
      <c r="D51" s="246"/>
    </row>
    <row r="52" spans="1:7" x14ac:dyDescent="0.25">
      <c r="C52" s="246"/>
      <c r="D52" s="246"/>
    </row>
    <row r="53" spans="1:7" x14ac:dyDescent="0.25"/>
    <row r="54" spans="1:7" x14ac:dyDescent="0.25"/>
    <row r="55" spans="1:7" x14ac:dyDescent="0.25"/>
    <row r="56" spans="1:7" x14ac:dyDescent="0.25"/>
    <row r="57" spans="1:7" x14ac:dyDescent="0.25">
      <c r="A57" s="69" t="s">
        <v>194</v>
      </c>
      <c r="B57" s="206" t="s">
        <v>193</v>
      </c>
      <c r="C57" s="206"/>
      <c r="D57" s="206"/>
      <c r="E57" s="206"/>
      <c r="F57" s="206"/>
      <c r="G57" s="206"/>
    </row>
    <row r="58" spans="1:7" x14ac:dyDescent="0.25"/>
    <row r="59" spans="1:7" ht="15.75" thickBot="1" x14ac:dyDescent="0.3">
      <c r="B59" s="216" t="s">
        <v>34</v>
      </c>
      <c r="C59" s="216"/>
      <c r="D59" s="54"/>
      <c r="E59" s="54"/>
      <c r="F59" s="54"/>
    </row>
    <row r="60" spans="1:7" ht="16.5" thickTop="1" thickBot="1" x14ac:dyDescent="0.3">
      <c r="B60" s="217" t="s">
        <v>171</v>
      </c>
      <c r="C60" s="197" t="s">
        <v>32</v>
      </c>
      <c r="D60" s="198"/>
      <c r="E60" s="205" t="s">
        <v>29</v>
      </c>
      <c r="F60" s="202" t="s">
        <v>16</v>
      </c>
    </row>
    <row r="61" spans="1:7" ht="16.5" thickTop="1" thickBot="1" x14ac:dyDescent="0.3">
      <c r="A61" s="35"/>
      <c r="B61" s="248"/>
      <c r="C61" s="42" t="s">
        <v>40</v>
      </c>
      <c r="D61" s="43" t="s">
        <v>25</v>
      </c>
      <c r="E61" s="205"/>
      <c r="F61" s="211"/>
    </row>
    <row r="62" spans="1:7" ht="15.75" hidden="1" thickTop="1" x14ac:dyDescent="0.25">
      <c r="A62" s="35"/>
      <c r="B62" s="58" t="s">
        <v>9</v>
      </c>
      <c r="C62" s="2" t="s">
        <v>10</v>
      </c>
      <c r="D62" s="24" t="s">
        <v>11</v>
      </c>
      <c r="E62" s="13" t="s">
        <v>15</v>
      </c>
      <c r="F62" s="56" t="s">
        <v>13</v>
      </c>
    </row>
    <row r="63" spans="1:7" ht="15.75" thickTop="1" x14ac:dyDescent="0.25">
      <c r="A63" s="35"/>
      <c r="B63" s="46" t="s">
        <v>172</v>
      </c>
      <c r="C63" s="25">
        <v>30</v>
      </c>
      <c r="D63" s="25">
        <v>240</v>
      </c>
      <c r="E63" s="279">
        <v>0.81100000000000005</v>
      </c>
      <c r="F63" s="52">
        <f>Table24278111213176715272834[[#This Row],[Column2]]+Table24278111213176715272834[[#This Row],[Column3]]</f>
        <v>270</v>
      </c>
    </row>
    <row r="64" spans="1:7" x14ac:dyDescent="0.25">
      <c r="A64" s="35"/>
      <c r="B64" s="85" t="s">
        <v>174</v>
      </c>
      <c r="C64" s="71">
        <v>4</v>
      </c>
      <c r="D64" s="71">
        <v>36</v>
      </c>
      <c r="E64" s="282">
        <v>0.12</v>
      </c>
      <c r="F64" s="52">
        <f>Table24278111213176715272834[[#This Row],[Column2]]+Table24278111213176715272834[[#This Row],[Column3]]</f>
        <v>40</v>
      </c>
    </row>
    <row r="65" spans="1:6" x14ac:dyDescent="0.25">
      <c r="A65" s="35"/>
      <c r="B65" s="33" t="s">
        <v>175</v>
      </c>
      <c r="C65" s="71">
        <v>4</v>
      </c>
      <c r="D65" s="71">
        <v>9</v>
      </c>
      <c r="E65" s="282">
        <v>3.9E-2</v>
      </c>
      <c r="F65" s="52">
        <f>Table24278111213176715272834[[#This Row],[Column2]]+Table24278111213176715272834[[#This Row],[Column3]]</f>
        <v>13</v>
      </c>
    </row>
    <row r="66" spans="1:6" x14ac:dyDescent="0.25">
      <c r="A66" s="35"/>
      <c r="B66" s="33" t="s">
        <v>177</v>
      </c>
      <c r="C66" s="71">
        <v>0</v>
      </c>
      <c r="D66" s="71">
        <v>4</v>
      </c>
      <c r="E66" s="282">
        <v>1.2E-2</v>
      </c>
      <c r="F66" s="52">
        <f>Table24278111213176715272834[[#This Row],[Column2]]+Table24278111213176715272834[[#This Row],[Column3]]</f>
        <v>4</v>
      </c>
    </row>
    <row r="67" spans="1:6" x14ac:dyDescent="0.25">
      <c r="A67" s="35"/>
      <c r="B67" s="46" t="s">
        <v>173</v>
      </c>
      <c r="C67" s="71">
        <v>0</v>
      </c>
      <c r="D67" s="71">
        <v>3</v>
      </c>
      <c r="E67" s="282">
        <v>8.9999999999999993E-3</v>
      </c>
      <c r="F67" s="52">
        <f>Table24278111213176715272834[[#This Row],[Column2]]+Table24278111213176715272834[[#This Row],[Column3]]</f>
        <v>3</v>
      </c>
    </row>
    <row r="68" spans="1:6" x14ac:dyDescent="0.25">
      <c r="A68" s="35"/>
      <c r="B68" s="33" t="s">
        <v>178</v>
      </c>
      <c r="C68" s="76">
        <v>0</v>
      </c>
      <c r="D68" s="71">
        <v>2</v>
      </c>
      <c r="E68" s="282">
        <v>6.0000000000000001E-3</v>
      </c>
      <c r="F68" s="52">
        <f>Table24278111213176715272834[[#This Row],[Column2]]+Table24278111213176715272834[[#This Row],[Column3]]</f>
        <v>2</v>
      </c>
    </row>
    <row r="69" spans="1:6" ht="15.75" thickBot="1" x14ac:dyDescent="0.3">
      <c r="A69" s="35"/>
      <c r="B69" s="33" t="s">
        <v>176</v>
      </c>
      <c r="C69" s="71">
        <v>1</v>
      </c>
      <c r="D69" s="71">
        <v>0</v>
      </c>
      <c r="E69" s="282">
        <v>3.0000000000000001E-3</v>
      </c>
      <c r="F69" s="52">
        <f>Table24278111213176715272834[[#This Row],[Column2]]+Table24278111213176715272834[[#This Row],[Column3]]</f>
        <v>1</v>
      </c>
    </row>
    <row r="70" spans="1:6" ht="16.5" thickTop="1" thickBot="1" x14ac:dyDescent="0.3">
      <c r="B70" s="84" t="s">
        <v>28</v>
      </c>
      <c r="C70" s="77">
        <f>SUM(C63:C69)</f>
        <v>39</v>
      </c>
      <c r="D70" s="77">
        <f>SUM(D63:D69)</f>
        <v>294</v>
      </c>
      <c r="E70" s="83">
        <f>SUM(E63:E69)</f>
        <v>1</v>
      </c>
      <c r="F70" s="80">
        <f>SUM(F63:F69)</f>
        <v>333</v>
      </c>
    </row>
    <row r="71" spans="1:6" ht="15.75" thickTop="1" x14ac:dyDescent="0.25"/>
    <row r="72" spans="1:6" x14ac:dyDescent="0.25"/>
    <row r="73" spans="1:6" hidden="1" x14ac:dyDescent="0.25"/>
    <row r="74" spans="1:6" hidden="1" x14ac:dyDescent="0.25"/>
    <row r="75" spans="1:6" hidden="1" x14ac:dyDescent="0.25"/>
    <row r="76" spans="1:6" hidden="1" x14ac:dyDescent="0.25"/>
    <row r="77" spans="1:6" hidden="1" x14ac:dyDescent="0.25"/>
    <row r="78" spans="1:6" hidden="1" x14ac:dyDescent="0.25"/>
    <row r="79" spans="1:6" hidden="1" x14ac:dyDescent="0.25"/>
    <row r="80" spans="1:6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</sheetData>
  <mergeCells count="25">
    <mergeCell ref="B60:B61"/>
    <mergeCell ref="C60:D60"/>
    <mergeCell ref="E60:E61"/>
    <mergeCell ref="F60:F61"/>
    <mergeCell ref="C36:D36"/>
    <mergeCell ref="E36:E37"/>
    <mergeCell ref="F36:F37"/>
    <mergeCell ref="B57:G57"/>
    <mergeCell ref="B59:C59"/>
    <mergeCell ref="B16:F16"/>
    <mergeCell ref="C51:D52"/>
    <mergeCell ref="B2:I2"/>
    <mergeCell ref="B4:F4"/>
    <mergeCell ref="B6:C7"/>
    <mergeCell ref="D6:D7"/>
    <mergeCell ref="E6:F7"/>
    <mergeCell ref="B49:F49"/>
    <mergeCell ref="B18:C18"/>
    <mergeCell ref="B19:B20"/>
    <mergeCell ref="C19:D19"/>
    <mergeCell ref="E19:E20"/>
    <mergeCell ref="F19:F20"/>
    <mergeCell ref="B33:F33"/>
    <mergeCell ref="B35:C35"/>
    <mergeCell ref="B36:B37"/>
  </mergeCells>
  <pageMargins left="0.7" right="0.7" top="0.75" bottom="0.75" header="0.3" footer="0.3"/>
  <pageSetup orientation="portrait" horizontalDpi="0" verticalDpi="0" r:id="rId1"/>
  <legacyDrawing r:id="rId2"/>
  <tableParts count="4">
    <tablePart r:id="rId3"/>
    <tablePart r:id="rId4"/>
    <tablePart r:id="rId5"/>
    <tablePart r:id="rId6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55"/>
  <sheetViews>
    <sheetView workbookViewId="0">
      <selection activeCell="G36" sqref="G36"/>
    </sheetView>
  </sheetViews>
  <sheetFormatPr defaultColWidth="0" defaultRowHeight="15" zeroHeight="1" x14ac:dyDescent="0.25"/>
  <cols>
    <col min="1" max="1" width="9.140625" customWidth="1"/>
    <col min="2" max="2" width="24.28515625" customWidth="1"/>
    <col min="3" max="3" width="16.28515625" customWidth="1"/>
    <col min="4" max="4" width="17.28515625" customWidth="1"/>
    <col min="5" max="5" width="11.85546875" customWidth="1"/>
    <col min="6" max="6" width="16.140625" customWidth="1"/>
    <col min="7" max="10" width="9.140625" customWidth="1"/>
    <col min="11" max="16384" width="9.140625" hidden="1"/>
  </cols>
  <sheetData>
    <row r="1" spans="1:9" x14ac:dyDescent="0.25"/>
    <row r="2" spans="1:9" ht="18.75" x14ac:dyDescent="0.25">
      <c r="B2" s="250" t="s">
        <v>179</v>
      </c>
      <c r="C2" s="250"/>
      <c r="D2" s="250"/>
      <c r="E2" s="250"/>
      <c r="F2" s="250"/>
      <c r="G2" s="250"/>
      <c r="H2" s="250"/>
      <c r="I2" s="250"/>
    </row>
    <row r="3" spans="1:9" x14ac:dyDescent="0.25"/>
    <row r="4" spans="1:9" x14ac:dyDescent="0.25">
      <c r="A4" s="158" t="s">
        <v>37</v>
      </c>
      <c r="B4" s="219" t="s">
        <v>180</v>
      </c>
      <c r="C4" s="219"/>
      <c r="D4" s="219"/>
      <c r="E4" s="219"/>
      <c r="F4" s="219"/>
      <c r="G4" s="219"/>
      <c r="H4" s="219"/>
      <c r="I4" s="219"/>
    </row>
    <row r="5" spans="1:9" x14ac:dyDescent="0.25"/>
    <row r="6" spans="1:9" ht="15.75" thickBot="1" x14ac:dyDescent="0.3">
      <c r="B6" s="216" t="s">
        <v>34</v>
      </c>
      <c r="C6" s="216"/>
      <c r="D6" s="54"/>
      <c r="E6" s="54"/>
      <c r="F6" s="54"/>
    </row>
    <row r="7" spans="1:9" ht="16.5" thickTop="1" thickBot="1" x14ac:dyDescent="0.3">
      <c r="B7" s="217" t="s">
        <v>63</v>
      </c>
      <c r="C7" s="197" t="s">
        <v>32</v>
      </c>
      <c r="D7" s="198"/>
      <c r="E7" s="205" t="s">
        <v>29</v>
      </c>
      <c r="F7" s="251" t="s">
        <v>16</v>
      </c>
    </row>
    <row r="8" spans="1:9" ht="16.5" thickTop="1" thickBot="1" x14ac:dyDescent="0.3">
      <c r="B8" s="196"/>
      <c r="C8" s="124" t="s">
        <v>24</v>
      </c>
      <c r="D8" s="123" t="s">
        <v>25</v>
      </c>
      <c r="E8" s="205"/>
      <c r="F8" s="252"/>
    </row>
    <row r="9" spans="1:9" ht="15.75" hidden="1" thickTop="1" x14ac:dyDescent="0.25">
      <c r="B9" s="121" t="s">
        <v>9</v>
      </c>
      <c r="C9" s="2" t="s">
        <v>10</v>
      </c>
      <c r="D9" s="97" t="s">
        <v>11</v>
      </c>
      <c r="E9" s="126" t="s">
        <v>15</v>
      </c>
      <c r="F9" s="56" t="s">
        <v>13</v>
      </c>
    </row>
    <row r="10" spans="1:9" ht="15.75" thickTop="1" x14ac:dyDescent="0.25">
      <c r="A10" s="35"/>
      <c r="B10" s="122" t="s">
        <v>64</v>
      </c>
      <c r="C10" s="125">
        <v>17</v>
      </c>
      <c r="D10" s="125">
        <v>177</v>
      </c>
      <c r="E10" s="305">
        <v>0.60799999999999998</v>
      </c>
      <c r="F10" s="89">
        <f>SUM(Table242781129[[#This Row],[Column2]:[Column3]])</f>
        <v>194</v>
      </c>
    </row>
    <row r="11" spans="1:9" ht="15.75" thickBot="1" x14ac:dyDescent="0.3">
      <c r="A11" s="35"/>
      <c r="B11" s="130" t="s">
        <v>65</v>
      </c>
      <c r="C11" s="131">
        <v>20</v>
      </c>
      <c r="D11" s="131">
        <v>105</v>
      </c>
      <c r="E11" s="306">
        <v>0.39200000000000002</v>
      </c>
      <c r="F11" s="91">
        <f>SUM(Table242781129[[#This Row],[Column2]:[Column3]])</f>
        <v>125</v>
      </c>
    </row>
    <row r="12" spans="1:9" ht="16.5" thickTop="1" thickBot="1" x14ac:dyDescent="0.3">
      <c r="B12" s="132" t="s">
        <v>28</v>
      </c>
      <c r="C12" s="101">
        <f>SUM(C10:C11)</f>
        <v>37</v>
      </c>
      <c r="D12" s="101">
        <f>SUM(D10:D11)</f>
        <v>282</v>
      </c>
      <c r="E12" s="133">
        <f>SUM(E10:E11)</f>
        <v>1</v>
      </c>
      <c r="F12" s="95">
        <f>SUM(F10:F11)</f>
        <v>319</v>
      </c>
    </row>
    <row r="13" spans="1:9" ht="15.75" thickTop="1" x14ac:dyDescent="0.25"/>
    <row r="14" spans="1:9" x14ac:dyDescent="0.25"/>
    <row r="15" spans="1:9" ht="15.75" thickBot="1" x14ac:dyDescent="0.3">
      <c r="B15" s="216" t="s">
        <v>35</v>
      </c>
      <c r="C15" s="216"/>
      <c r="D15" s="54"/>
      <c r="E15" s="54"/>
      <c r="F15" s="54"/>
    </row>
    <row r="16" spans="1:9" ht="16.5" thickTop="1" thickBot="1" x14ac:dyDescent="0.3">
      <c r="B16" s="217" t="s">
        <v>63</v>
      </c>
      <c r="C16" s="197" t="s">
        <v>66</v>
      </c>
      <c r="D16" s="198"/>
      <c r="E16" s="205" t="s">
        <v>29</v>
      </c>
      <c r="F16" s="251" t="s">
        <v>16</v>
      </c>
    </row>
    <row r="17" spans="1:7" ht="16.5" thickTop="1" thickBot="1" x14ac:dyDescent="0.3">
      <c r="B17" s="196"/>
      <c r="C17" s="42" t="s">
        <v>26</v>
      </c>
      <c r="D17" s="43" t="s">
        <v>27</v>
      </c>
      <c r="E17" s="205"/>
      <c r="F17" s="253"/>
      <c r="G17" s="41"/>
    </row>
    <row r="18" spans="1:7" ht="15.75" hidden="1" thickTop="1" x14ac:dyDescent="0.25">
      <c r="A18" s="35"/>
      <c r="B18" s="121" t="s">
        <v>9</v>
      </c>
      <c r="C18" s="128" t="s">
        <v>10</v>
      </c>
      <c r="D18" s="128" t="s">
        <v>11</v>
      </c>
      <c r="E18" s="62" t="s">
        <v>15</v>
      </c>
      <c r="F18" t="s">
        <v>13</v>
      </c>
      <c r="G18" s="41"/>
    </row>
    <row r="19" spans="1:7" ht="15.75" thickTop="1" x14ac:dyDescent="0.25">
      <c r="A19" s="35"/>
      <c r="B19" s="122" t="s">
        <v>64</v>
      </c>
      <c r="C19" s="125">
        <v>194</v>
      </c>
      <c r="D19" s="125">
        <v>0</v>
      </c>
      <c r="E19" s="307">
        <v>0.59</v>
      </c>
      <c r="F19" s="129">
        <f>SUM(Table24278111230[[#This Row],[Column2]:[Column3]])</f>
        <v>194</v>
      </c>
      <c r="G19" s="41"/>
    </row>
    <row r="20" spans="1:7" ht="15.75" thickBot="1" x14ac:dyDescent="0.3">
      <c r="A20" s="35"/>
      <c r="B20" s="137" t="s">
        <v>65</v>
      </c>
      <c r="C20" s="138">
        <v>119</v>
      </c>
      <c r="D20" s="138">
        <v>16</v>
      </c>
      <c r="E20" s="308">
        <v>0.41</v>
      </c>
      <c r="F20" s="90">
        <f>SUM(Table24278111230[[#This Row],[Column2]:[Column3]])</f>
        <v>135</v>
      </c>
      <c r="G20" s="41"/>
    </row>
    <row r="21" spans="1:7" ht="16.5" thickTop="1" thickBot="1" x14ac:dyDescent="0.3">
      <c r="B21" s="134" t="s">
        <v>28</v>
      </c>
      <c r="C21" s="135">
        <f>SUM(C19:C20)</f>
        <v>313</v>
      </c>
      <c r="D21" s="135">
        <f>SUM(D19:D20)</f>
        <v>16</v>
      </c>
      <c r="E21" s="136">
        <f>SUM(E19:E20)</f>
        <v>1</v>
      </c>
      <c r="F21" s="40">
        <f>SUM(F19:F20)</f>
        <v>329</v>
      </c>
      <c r="G21" s="41"/>
    </row>
    <row r="22" spans="1:7" ht="15.75" thickTop="1" x14ac:dyDescent="0.25"/>
    <row r="23" spans="1:7" ht="15.75" thickBot="1" x14ac:dyDescent="0.3">
      <c r="B23" s="216" t="s">
        <v>139</v>
      </c>
      <c r="C23" s="216"/>
      <c r="D23" s="54"/>
      <c r="E23" s="54"/>
      <c r="F23" s="54"/>
    </row>
    <row r="24" spans="1:7" ht="27" customHeight="1" thickTop="1" thickBot="1" x14ac:dyDescent="0.3">
      <c r="B24" s="217" t="s">
        <v>63</v>
      </c>
      <c r="C24" s="197" t="s">
        <v>181</v>
      </c>
      <c r="D24" s="198"/>
      <c r="E24" s="205" t="s">
        <v>29</v>
      </c>
      <c r="F24" s="251" t="s">
        <v>16</v>
      </c>
    </row>
    <row r="25" spans="1:7" ht="16.5" thickTop="1" thickBot="1" x14ac:dyDescent="0.3">
      <c r="B25" s="196"/>
      <c r="C25" s="42" t="s">
        <v>20</v>
      </c>
      <c r="D25" s="43" t="s">
        <v>21</v>
      </c>
      <c r="E25" s="205"/>
      <c r="F25" s="253"/>
      <c r="G25" s="41"/>
    </row>
    <row r="26" spans="1:7" ht="15.75" hidden="1" thickTop="1" x14ac:dyDescent="0.25">
      <c r="B26" s="121" t="s">
        <v>9</v>
      </c>
      <c r="C26" s="128" t="s">
        <v>10</v>
      </c>
      <c r="D26" s="128" t="s">
        <v>11</v>
      </c>
      <c r="E26" s="62" t="s">
        <v>15</v>
      </c>
      <c r="F26" t="s">
        <v>13</v>
      </c>
      <c r="G26" s="41"/>
    </row>
    <row r="27" spans="1:7" ht="15.75" thickTop="1" x14ac:dyDescent="0.25">
      <c r="B27" s="122" t="s">
        <v>64</v>
      </c>
      <c r="C27" s="125">
        <v>60</v>
      </c>
      <c r="D27" s="125">
        <v>135</v>
      </c>
      <c r="E27" s="307">
        <v>0.60899999999999999</v>
      </c>
      <c r="F27" s="129">
        <f>SUM(Table2427811123031[[#This Row],[Column2]:[Column3]])</f>
        <v>195</v>
      </c>
      <c r="G27" s="41"/>
    </row>
    <row r="28" spans="1:7" ht="15.75" thickBot="1" x14ac:dyDescent="0.3">
      <c r="B28" s="130" t="s">
        <v>65</v>
      </c>
      <c r="C28" s="131">
        <v>43</v>
      </c>
      <c r="D28" s="131">
        <v>82</v>
      </c>
      <c r="E28" s="309">
        <v>0.39100000000000001</v>
      </c>
      <c r="F28" s="139">
        <f>SUM(Table2427811123031[[#This Row],[Column2]:[Column3]])</f>
        <v>125</v>
      </c>
      <c r="G28" s="41"/>
    </row>
    <row r="29" spans="1:7" ht="16.5" thickTop="1" thickBot="1" x14ac:dyDescent="0.3">
      <c r="B29" s="132" t="s">
        <v>28</v>
      </c>
      <c r="C29" s="101">
        <f>SUM(C27:C28)</f>
        <v>103</v>
      </c>
      <c r="D29" s="101">
        <f>SUM(D27:D28)</f>
        <v>217</v>
      </c>
      <c r="E29" s="140">
        <f>SUM(E27:E28)</f>
        <v>1</v>
      </c>
      <c r="F29" s="95">
        <f>SUM(F27:F28)</f>
        <v>320</v>
      </c>
      <c r="G29" s="41"/>
    </row>
    <row r="30" spans="1:7" ht="15.75" thickTop="1" x14ac:dyDescent="0.25"/>
    <row r="31" spans="1:7" x14ac:dyDescent="0.25"/>
    <row r="32" spans="1:7" ht="15.75" x14ac:dyDescent="0.25">
      <c r="A32" s="158" t="s">
        <v>38</v>
      </c>
      <c r="B32" s="254" t="s">
        <v>182</v>
      </c>
      <c r="C32" s="254"/>
      <c r="D32" s="254"/>
      <c r="E32" s="254"/>
      <c r="F32" s="254"/>
      <c r="G32" s="254"/>
    </row>
    <row r="33" spans="1:8" x14ac:dyDescent="0.25"/>
    <row r="34" spans="1:8" ht="15.75" thickBot="1" x14ac:dyDescent="0.3">
      <c r="B34" s="216" t="s">
        <v>139</v>
      </c>
      <c r="C34" s="216"/>
      <c r="D34" s="54"/>
      <c r="E34" s="54"/>
      <c r="F34" s="54"/>
    </row>
    <row r="35" spans="1:8" ht="16.5" customHeight="1" thickTop="1" x14ac:dyDescent="0.25">
      <c r="B35" s="255" t="s">
        <v>63</v>
      </c>
      <c r="C35" s="259" t="s">
        <v>147</v>
      </c>
      <c r="D35" s="257" t="s">
        <v>183</v>
      </c>
      <c r="E35" s="231" t="s">
        <v>29</v>
      </c>
      <c r="F35" s="232"/>
    </row>
    <row r="36" spans="1:8" ht="15.75" thickBot="1" x14ac:dyDescent="0.3">
      <c r="B36" s="256"/>
      <c r="C36" s="260"/>
      <c r="D36" s="258"/>
      <c r="E36" s="233"/>
      <c r="F36" s="234"/>
    </row>
    <row r="37" spans="1:8" ht="15.75" hidden="1" thickTop="1" x14ac:dyDescent="0.25">
      <c r="B37" s="121" t="s">
        <v>9</v>
      </c>
      <c r="C37" s="128" t="s">
        <v>10</v>
      </c>
      <c r="D37" s="128" t="s">
        <v>11</v>
      </c>
      <c r="E37" s="62" t="s">
        <v>15</v>
      </c>
      <c r="F37" s="141" t="s">
        <v>13</v>
      </c>
    </row>
    <row r="38" spans="1:8" ht="15.75" thickTop="1" x14ac:dyDescent="0.25">
      <c r="B38" s="122" t="s">
        <v>64</v>
      </c>
      <c r="C38" s="106" t="s">
        <v>25</v>
      </c>
      <c r="D38" s="106">
        <v>47</v>
      </c>
      <c r="E38" s="144"/>
      <c r="F38" s="311">
        <v>0.90400000000000003</v>
      </c>
      <c r="H38" s="158"/>
    </row>
    <row r="39" spans="1:8" ht="15.75" thickBot="1" x14ac:dyDescent="0.3">
      <c r="B39" s="310"/>
      <c r="C39" s="125" t="s">
        <v>40</v>
      </c>
      <c r="D39" s="125">
        <v>5</v>
      </c>
      <c r="E39" s="143"/>
      <c r="F39" s="312">
        <v>9.6000000000000002E-2</v>
      </c>
    </row>
    <row r="40" spans="1:8" ht="16.5" thickTop="1" thickBot="1" x14ac:dyDescent="0.3">
      <c r="B40" s="313" t="s">
        <v>28</v>
      </c>
      <c r="C40" s="103"/>
      <c r="D40" s="99">
        <f>SUM(D38:D39)</f>
        <v>52</v>
      </c>
      <c r="E40" s="146"/>
      <c r="F40" s="147">
        <f>SUM(F38:F39)</f>
        <v>1</v>
      </c>
    </row>
    <row r="41" spans="1:8" ht="16.5" thickTop="1" thickBot="1" x14ac:dyDescent="0.3">
      <c r="B41" s="130"/>
      <c r="C41" s="175" t="s">
        <v>21</v>
      </c>
      <c r="D41" s="175">
        <v>31</v>
      </c>
      <c r="E41" s="320"/>
      <c r="F41" s="311">
        <v>0.59599999999999997</v>
      </c>
    </row>
    <row r="42" spans="1:8" ht="16.5" thickTop="1" thickBot="1" x14ac:dyDescent="0.3">
      <c r="B42" s="142"/>
      <c r="C42" s="106" t="s">
        <v>20</v>
      </c>
      <c r="D42" s="106">
        <v>21</v>
      </c>
      <c r="E42" s="168"/>
      <c r="F42" s="319">
        <v>0.40400000000000003</v>
      </c>
    </row>
    <row r="43" spans="1:8" ht="17.25" thickTop="1" thickBot="1" x14ac:dyDescent="0.3">
      <c r="B43" s="314" t="s">
        <v>28</v>
      </c>
      <c r="C43" s="315"/>
      <c r="D43" s="316">
        <f>SUM(D41:D42)</f>
        <v>52</v>
      </c>
      <c r="E43" s="317"/>
      <c r="F43" s="318">
        <f>SUM(F41:F42)</f>
        <v>1</v>
      </c>
    </row>
    <row r="44" spans="1:8" ht="15.75" thickTop="1" x14ac:dyDescent="0.25"/>
    <row r="45" spans="1:8" x14ac:dyDescent="0.25"/>
    <row r="46" spans="1:8" ht="23.25" customHeight="1" x14ac:dyDescent="0.25">
      <c r="A46" s="206" t="s">
        <v>189</v>
      </c>
      <c r="B46" s="206"/>
      <c r="C46" s="206"/>
      <c r="D46" s="206"/>
      <c r="E46" s="206"/>
      <c r="F46" s="206"/>
      <c r="G46" s="206"/>
    </row>
    <row r="47" spans="1:8" x14ac:dyDescent="0.25"/>
    <row r="48" spans="1:8" x14ac:dyDescent="0.25">
      <c r="C48" s="246" t="s">
        <v>190</v>
      </c>
      <c r="D48" s="246"/>
      <c r="E48" s="246"/>
    </row>
    <row r="49" spans="3:5" x14ac:dyDescent="0.25">
      <c r="C49" s="246"/>
      <c r="D49" s="246"/>
      <c r="E49" s="246"/>
    </row>
    <row r="50" spans="3:5" x14ac:dyDescent="0.25">
      <c r="C50" s="246"/>
      <c r="D50" s="246"/>
      <c r="E50" s="246"/>
    </row>
    <row r="51" spans="3:5" x14ac:dyDescent="0.25">
      <c r="C51" s="246"/>
      <c r="D51" s="246"/>
      <c r="E51" s="246"/>
    </row>
    <row r="52" spans="3:5" x14ac:dyDescent="0.25"/>
    <row r="53" spans="3:5" x14ac:dyDescent="0.25"/>
    <row r="54" spans="3:5" hidden="1" x14ac:dyDescent="0.25"/>
    <row r="55" spans="3:5" hidden="1" x14ac:dyDescent="0.25"/>
  </sheetData>
  <mergeCells count="25">
    <mergeCell ref="E35:F36"/>
    <mergeCell ref="C48:E51"/>
    <mergeCell ref="B34:C34"/>
    <mergeCell ref="B35:B36"/>
    <mergeCell ref="D35:D36"/>
    <mergeCell ref="C35:C36"/>
    <mergeCell ref="A46:G46"/>
    <mergeCell ref="B24:B25"/>
    <mergeCell ref="C24:D24"/>
    <mergeCell ref="E24:E25"/>
    <mergeCell ref="F24:F25"/>
    <mergeCell ref="B32:G32"/>
    <mergeCell ref="B23:C23"/>
    <mergeCell ref="B2:I2"/>
    <mergeCell ref="B4:I4"/>
    <mergeCell ref="B6:C6"/>
    <mergeCell ref="B7:B8"/>
    <mergeCell ref="C7:D7"/>
    <mergeCell ref="E7:E8"/>
    <mergeCell ref="F7:F8"/>
    <mergeCell ref="B15:C15"/>
    <mergeCell ref="B16:B17"/>
    <mergeCell ref="C16:D16"/>
    <mergeCell ref="E16:E17"/>
    <mergeCell ref="F16:F17"/>
  </mergeCells>
  <pageMargins left="0.7" right="0.7" top="0.75" bottom="0.75" header="0.3" footer="0.3"/>
  <pageSetup orientation="portrait" horizontalDpi="0" verticalDpi="0" r:id="rId1"/>
  <legacyDrawing r:id="rId2"/>
  <tableParts count="4">
    <tablePart r:id="rId3"/>
    <tablePart r:id="rId4"/>
    <tablePart r:id="rId5"/>
    <tablePart r:id="rId6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6"/>
  <sheetViews>
    <sheetView topLeftCell="A4" workbookViewId="0">
      <selection activeCell="B6" sqref="B6:F12"/>
    </sheetView>
  </sheetViews>
  <sheetFormatPr defaultColWidth="0" defaultRowHeight="15" zeroHeight="1" x14ac:dyDescent="0.25"/>
  <cols>
    <col min="1" max="1" width="9.140625" customWidth="1"/>
    <col min="2" max="2" width="35.85546875" customWidth="1"/>
    <col min="3" max="3" width="16.42578125" customWidth="1"/>
    <col min="4" max="4" width="16.140625" customWidth="1"/>
    <col min="5" max="5" width="10.140625" customWidth="1"/>
    <col min="6" max="6" width="11.42578125" customWidth="1"/>
    <col min="7" max="10" width="9.140625" customWidth="1"/>
    <col min="11" max="16384" width="9.140625" hidden="1"/>
  </cols>
  <sheetData>
    <row r="1" spans="1:7" x14ac:dyDescent="0.25"/>
    <row r="2" spans="1:7" ht="15.75" x14ac:dyDescent="0.25">
      <c r="B2" s="262" t="s">
        <v>184</v>
      </c>
      <c r="C2" s="262"/>
      <c r="D2" s="262"/>
      <c r="E2" s="262"/>
      <c r="F2" s="262"/>
      <c r="G2" s="262"/>
    </row>
    <row r="3" spans="1:7" x14ac:dyDescent="0.25"/>
    <row r="4" spans="1:7" ht="15.75" x14ac:dyDescent="0.25">
      <c r="A4" s="69" t="s">
        <v>37</v>
      </c>
      <c r="B4" s="218" t="s">
        <v>185</v>
      </c>
      <c r="C4" s="218"/>
      <c r="D4" s="218"/>
      <c r="E4" s="218"/>
      <c r="F4" s="218"/>
      <c r="G4" s="218"/>
    </row>
    <row r="5" spans="1:7" x14ac:dyDescent="0.25"/>
    <row r="6" spans="1:7" ht="15.75" thickBot="1" x14ac:dyDescent="0.3">
      <c r="B6" s="263" t="s">
        <v>34</v>
      </c>
      <c r="C6" s="263"/>
      <c r="D6" s="54"/>
      <c r="E6" s="54"/>
      <c r="F6" s="54"/>
    </row>
    <row r="7" spans="1:7" ht="16.5" thickTop="1" thickBot="1" x14ac:dyDescent="0.3">
      <c r="B7" s="217" t="s">
        <v>71</v>
      </c>
      <c r="C7" s="197" t="s">
        <v>66</v>
      </c>
      <c r="D7" s="198"/>
      <c r="E7" s="205" t="s">
        <v>29</v>
      </c>
      <c r="F7" s="202" t="s">
        <v>16</v>
      </c>
    </row>
    <row r="8" spans="1:7" ht="16.5" thickTop="1" thickBot="1" x14ac:dyDescent="0.3">
      <c r="B8" s="196"/>
      <c r="C8" s="42" t="s">
        <v>68</v>
      </c>
      <c r="D8" s="43" t="s">
        <v>25</v>
      </c>
      <c r="E8" s="205"/>
      <c r="F8" s="211"/>
    </row>
    <row r="9" spans="1:7" ht="15.75" hidden="1" thickTop="1" x14ac:dyDescent="0.25">
      <c r="A9" s="35"/>
      <c r="B9" s="58" t="s">
        <v>9</v>
      </c>
      <c r="C9" s="2" t="s">
        <v>10</v>
      </c>
      <c r="D9" s="24" t="s">
        <v>11</v>
      </c>
      <c r="E9" s="13" t="s">
        <v>15</v>
      </c>
      <c r="F9" s="56" t="s">
        <v>13</v>
      </c>
    </row>
    <row r="10" spans="1:7" ht="28.5" customHeight="1" thickTop="1" thickBot="1" x14ac:dyDescent="0.3">
      <c r="A10" s="35"/>
      <c r="B10" s="153" t="s">
        <v>65</v>
      </c>
      <c r="C10" s="154">
        <v>23</v>
      </c>
      <c r="D10" s="155">
        <v>164</v>
      </c>
      <c r="E10" s="321">
        <v>0.56499999999999995</v>
      </c>
      <c r="F10" s="156">
        <f>SUM(Table242781112131733[[#This Row],[Column2]:[Column3]])</f>
        <v>187</v>
      </c>
    </row>
    <row r="11" spans="1:7" ht="17.25" customHeight="1" thickTop="1" thickBot="1" x14ac:dyDescent="0.3">
      <c r="A11" s="35"/>
      <c r="B11" s="313" t="s">
        <v>64</v>
      </c>
      <c r="C11" s="322">
        <v>16</v>
      </c>
      <c r="D11" s="323">
        <v>128</v>
      </c>
      <c r="E11" s="324">
        <v>0.435</v>
      </c>
      <c r="F11" s="80">
        <f>SUM(Table242781112131733[[#This Row],[Column2]:[Column3]])</f>
        <v>144</v>
      </c>
    </row>
    <row r="12" spans="1:7" ht="26.25" customHeight="1" thickTop="1" thickBot="1" x14ac:dyDescent="0.3">
      <c r="B12" s="150" t="s">
        <v>28</v>
      </c>
      <c r="C12" s="151">
        <f>SUM(C10:C11)</f>
        <v>39</v>
      </c>
      <c r="D12" s="151">
        <f>SUM(D10:D11)</f>
        <v>292</v>
      </c>
      <c r="E12" s="152">
        <f>SUM(E10:E11)</f>
        <v>1</v>
      </c>
      <c r="F12" s="57">
        <f>SUM(F10:F11)</f>
        <v>331</v>
      </c>
    </row>
    <row r="13" spans="1:7" ht="15.75" thickTop="1" x14ac:dyDescent="0.25"/>
    <row r="14" spans="1:7" x14ac:dyDescent="0.25"/>
    <row r="15" spans="1:7" x14ac:dyDescent="0.25"/>
    <row r="16" spans="1:7" x14ac:dyDescent="0.25"/>
    <row r="17" spans="1:7" x14ac:dyDescent="0.25"/>
    <row r="18" spans="1:7" x14ac:dyDescent="0.25">
      <c r="A18" s="69" t="s">
        <v>38</v>
      </c>
      <c r="B18" s="219" t="s">
        <v>186</v>
      </c>
      <c r="C18" s="219"/>
      <c r="D18" s="219"/>
      <c r="E18" s="219"/>
      <c r="F18" s="219"/>
      <c r="G18" s="219"/>
    </row>
    <row r="19" spans="1:7" x14ac:dyDescent="0.25"/>
    <row r="20" spans="1:7" x14ac:dyDescent="0.25">
      <c r="C20" s="261" t="s">
        <v>188</v>
      </c>
      <c r="D20" s="261"/>
      <c r="E20" s="261"/>
    </row>
    <row r="21" spans="1:7" x14ac:dyDescent="0.25">
      <c r="C21" s="261"/>
      <c r="D21" s="261"/>
      <c r="E21" s="261"/>
    </row>
    <row r="22" spans="1:7" x14ac:dyDescent="0.25">
      <c r="C22" s="261"/>
      <c r="D22" s="261"/>
      <c r="E22" s="261"/>
    </row>
    <row r="23" spans="1:7" x14ac:dyDescent="0.25">
      <c r="C23" s="261"/>
      <c r="D23" s="261"/>
      <c r="E23" s="261"/>
    </row>
    <row r="24" spans="1:7" x14ac:dyDescent="0.25"/>
    <row r="25" spans="1:7" x14ac:dyDescent="0.25"/>
    <row r="26" spans="1:7" hidden="1" x14ac:dyDescent="0.25"/>
  </sheetData>
  <mergeCells count="9">
    <mergeCell ref="C20:E23"/>
    <mergeCell ref="B2:G2"/>
    <mergeCell ref="B4:G4"/>
    <mergeCell ref="B18:G18"/>
    <mergeCell ref="B6:C6"/>
    <mergeCell ref="B7:B8"/>
    <mergeCell ref="C7:D7"/>
    <mergeCell ref="E7:E8"/>
    <mergeCell ref="F7:F8"/>
  </mergeCells>
  <pageMargins left="0.7" right="0.7" top="0.75" bottom="0.75" header="0.3" footer="0.3"/>
  <pageSetup orientation="portrait" horizontalDpi="0" verticalDpi="0" r:id="rId1"/>
  <legacy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26"/>
  <sheetViews>
    <sheetView workbookViewId="0">
      <selection activeCell="B2" sqref="B2:F2"/>
    </sheetView>
  </sheetViews>
  <sheetFormatPr defaultColWidth="0" defaultRowHeight="15" zeroHeight="1" x14ac:dyDescent="0.25"/>
  <cols>
    <col min="1" max="1" width="9.140625" customWidth="1"/>
    <col min="2" max="2" width="35.28515625" customWidth="1"/>
    <col min="3" max="3" width="14.7109375" customWidth="1"/>
    <col min="4" max="4" width="14.28515625" customWidth="1"/>
    <col min="5" max="5" width="12.140625" customWidth="1"/>
    <col min="6" max="6" width="12.85546875" customWidth="1"/>
    <col min="7" max="11" width="9.140625" customWidth="1"/>
    <col min="12" max="16384" width="9.140625" hidden="1"/>
  </cols>
  <sheetData>
    <row r="1" spans="2:6" x14ac:dyDescent="0.25"/>
    <row r="2" spans="2:6" ht="18.75" x14ac:dyDescent="0.25">
      <c r="B2" s="221" t="s">
        <v>207</v>
      </c>
      <c r="C2" s="221"/>
      <c r="D2" s="221"/>
      <c r="E2" s="221"/>
      <c r="F2" s="221"/>
    </row>
    <row r="3" spans="2:6" x14ac:dyDescent="0.25"/>
    <row r="4" spans="2:6" ht="15.75" thickBot="1" x14ac:dyDescent="0.3">
      <c r="B4" s="264" t="s">
        <v>200</v>
      </c>
      <c r="C4" s="265"/>
      <c r="D4" s="54"/>
      <c r="E4" s="54"/>
      <c r="F4" s="54"/>
    </row>
    <row r="5" spans="2:6" ht="15.75" thickTop="1" x14ac:dyDescent="0.25">
      <c r="B5" s="266" t="s">
        <v>199</v>
      </c>
      <c r="C5" s="268" t="s">
        <v>147</v>
      </c>
      <c r="D5" s="270" t="s">
        <v>16</v>
      </c>
      <c r="E5" s="272" t="s">
        <v>29</v>
      </c>
      <c r="F5" s="273"/>
    </row>
    <row r="6" spans="2:6" ht="15.75" thickBot="1" x14ac:dyDescent="0.3">
      <c r="B6" s="267"/>
      <c r="C6" s="269"/>
      <c r="D6" s="271"/>
      <c r="E6" s="274"/>
      <c r="F6" s="275"/>
    </row>
    <row r="7" spans="2:6" ht="16.5" hidden="1" thickTop="1" thickBot="1" x14ac:dyDescent="0.3">
      <c r="B7" s="166" t="s">
        <v>9</v>
      </c>
      <c r="C7" s="128" t="s">
        <v>10</v>
      </c>
      <c r="D7" s="128" t="s">
        <v>11</v>
      </c>
      <c r="E7" s="62" t="s">
        <v>15</v>
      </c>
      <c r="F7" s="141" t="s">
        <v>13</v>
      </c>
    </row>
    <row r="8" spans="2:6" ht="15.75" thickTop="1" x14ac:dyDescent="0.25">
      <c r="B8" s="179" t="s">
        <v>64</v>
      </c>
      <c r="C8" s="181" t="s">
        <v>25</v>
      </c>
      <c r="D8" s="106">
        <v>10</v>
      </c>
      <c r="E8" s="327">
        <v>0.90900000000000003</v>
      </c>
      <c r="F8" s="167"/>
    </row>
    <row r="9" spans="2:6" ht="15.75" thickBot="1" x14ac:dyDescent="0.3">
      <c r="B9" s="177"/>
      <c r="C9" s="326" t="s">
        <v>40</v>
      </c>
      <c r="D9" s="326">
        <v>1</v>
      </c>
      <c r="E9" s="329">
        <v>9.0999999999999998E-2</v>
      </c>
      <c r="F9" s="173"/>
    </row>
    <row r="10" spans="2:6" ht="17.25" thickTop="1" thickBot="1" x14ac:dyDescent="0.3">
      <c r="B10" s="182" t="s">
        <v>28</v>
      </c>
      <c r="C10" s="103"/>
      <c r="D10" s="99">
        <v>11</v>
      </c>
      <c r="E10" s="187">
        <f>SUM(E8:E9)</f>
        <v>1</v>
      </c>
      <c r="F10" s="325"/>
    </row>
    <row r="11" spans="2:6" ht="15.75" thickTop="1" x14ac:dyDescent="0.25">
      <c r="B11" s="179" t="s">
        <v>65</v>
      </c>
      <c r="C11" s="181" t="s">
        <v>25</v>
      </c>
      <c r="D11" s="106">
        <v>284</v>
      </c>
      <c r="E11" s="327">
        <v>0.88200000000000001</v>
      </c>
      <c r="F11" s="328"/>
    </row>
    <row r="12" spans="2:6" ht="15.75" thickBot="1" x14ac:dyDescent="0.3">
      <c r="B12" s="310"/>
      <c r="C12" s="181" t="s">
        <v>40</v>
      </c>
      <c r="D12" s="106">
        <v>38</v>
      </c>
      <c r="E12" s="327">
        <v>0.11799999999999999</v>
      </c>
      <c r="F12" s="171"/>
    </row>
    <row r="13" spans="2:6" ht="17.25" thickTop="1" thickBot="1" x14ac:dyDescent="0.3">
      <c r="B13" s="182" t="s">
        <v>28</v>
      </c>
      <c r="C13" s="103"/>
      <c r="D13" s="99">
        <v>322</v>
      </c>
      <c r="E13" s="185">
        <f>SUM(E11:E12)</f>
        <v>1</v>
      </c>
      <c r="F13" s="147"/>
    </row>
    <row r="14" spans="2:6" ht="15.75" thickTop="1" x14ac:dyDescent="0.25">
      <c r="B14" s="179" t="s">
        <v>64</v>
      </c>
      <c r="C14" s="181" t="s">
        <v>21</v>
      </c>
      <c r="D14" s="106">
        <v>7</v>
      </c>
      <c r="E14" s="327">
        <v>0.63600000000000001</v>
      </c>
      <c r="F14" s="170"/>
    </row>
    <row r="15" spans="2:6" ht="15.75" thickBot="1" x14ac:dyDescent="0.3">
      <c r="B15" s="310"/>
      <c r="C15" s="181" t="s">
        <v>20</v>
      </c>
      <c r="D15" s="106">
        <v>4</v>
      </c>
      <c r="E15" s="327">
        <v>0.36399999999999999</v>
      </c>
      <c r="F15" s="169"/>
    </row>
    <row r="16" spans="2:6" ht="16.5" thickTop="1" thickBot="1" x14ac:dyDescent="0.3">
      <c r="B16" s="184" t="s">
        <v>28</v>
      </c>
      <c r="C16" s="175"/>
      <c r="D16" s="99">
        <v>11</v>
      </c>
      <c r="E16" s="187">
        <f>SUM(E14:E15)</f>
        <v>1</v>
      </c>
      <c r="F16" s="176"/>
    </row>
    <row r="17" spans="2:6" ht="15.75" thickTop="1" x14ac:dyDescent="0.25">
      <c r="B17" s="179" t="s">
        <v>65</v>
      </c>
      <c r="C17" s="181" t="s">
        <v>21</v>
      </c>
      <c r="D17" s="106">
        <v>219</v>
      </c>
      <c r="E17" s="327">
        <v>0.68</v>
      </c>
      <c r="F17" s="170"/>
    </row>
    <row r="18" spans="2:6" ht="15.75" thickBot="1" x14ac:dyDescent="0.3">
      <c r="B18" s="310"/>
      <c r="C18" s="181" t="s">
        <v>20</v>
      </c>
      <c r="D18" s="106">
        <v>103</v>
      </c>
      <c r="E18" s="327">
        <v>0.32</v>
      </c>
      <c r="F18" s="170"/>
    </row>
    <row r="19" spans="2:6" ht="16.5" thickTop="1" thickBot="1" x14ac:dyDescent="0.3">
      <c r="B19" s="183" t="s">
        <v>28</v>
      </c>
      <c r="C19" s="100"/>
      <c r="D19" s="101">
        <v>322</v>
      </c>
      <c r="E19" s="186">
        <f>SUM(E17:E18)</f>
        <v>1</v>
      </c>
      <c r="F19" s="148"/>
    </row>
    <row r="20" spans="2:6" ht="15.75" thickTop="1" x14ac:dyDescent="0.25"/>
    <row r="21" spans="2:6" x14ac:dyDescent="0.25"/>
    <row r="22" spans="2:6" x14ac:dyDescent="0.25"/>
    <row r="23" spans="2:6" hidden="1" x14ac:dyDescent="0.25"/>
    <row r="24" spans="2:6" hidden="1" x14ac:dyDescent="0.25"/>
    <row r="25" spans="2:6" hidden="1" x14ac:dyDescent="0.25"/>
    <row r="26" spans="2:6" hidden="1" x14ac:dyDescent="0.25"/>
  </sheetData>
  <mergeCells count="6">
    <mergeCell ref="B2:F2"/>
    <mergeCell ref="B4:C4"/>
    <mergeCell ref="B5:B6"/>
    <mergeCell ref="C5:C6"/>
    <mergeCell ref="D5:D6"/>
    <mergeCell ref="E5:F6"/>
  </mergeCells>
  <pageMargins left="0.7" right="0.7" top="0.75" bottom="0.75" header="0.3" footer="0.3"/>
  <legacy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25"/>
  <sheetViews>
    <sheetView topLeftCell="A2" workbookViewId="0">
      <selection activeCell="H17" sqref="H17"/>
    </sheetView>
  </sheetViews>
  <sheetFormatPr defaultColWidth="0" defaultRowHeight="15" zeroHeight="1" x14ac:dyDescent="0.25"/>
  <cols>
    <col min="1" max="1" width="9.140625" customWidth="1"/>
    <col min="2" max="2" width="30.42578125" customWidth="1"/>
    <col min="3" max="3" width="25.28515625" customWidth="1"/>
    <col min="4" max="4" width="14" customWidth="1"/>
    <col min="5" max="5" width="15.28515625" customWidth="1"/>
    <col min="6" max="6" width="0.140625" customWidth="1"/>
    <col min="7" max="11" width="9.140625" customWidth="1"/>
    <col min="12" max="16384" width="9.140625" hidden="1"/>
  </cols>
  <sheetData>
    <row r="1" spans="1:6" x14ac:dyDescent="0.25"/>
    <row r="2" spans="1:6" x14ac:dyDescent="0.25"/>
    <row r="3" spans="1:6" x14ac:dyDescent="0.25"/>
    <row r="4" spans="1:6" ht="15.75" thickBot="1" x14ac:dyDescent="0.3">
      <c r="B4" s="264" t="s">
        <v>200</v>
      </c>
      <c r="C4" s="265"/>
      <c r="D4" s="54"/>
      <c r="E4" s="54"/>
      <c r="F4" s="54"/>
    </row>
    <row r="5" spans="1:6" ht="15.75" thickTop="1" x14ac:dyDescent="0.25">
      <c r="B5" s="266" t="s">
        <v>201</v>
      </c>
      <c r="C5" s="276" t="s">
        <v>147</v>
      </c>
      <c r="D5" s="270" t="s">
        <v>16</v>
      </c>
      <c r="E5" s="272" t="s">
        <v>29</v>
      </c>
      <c r="F5" s="273"/>
    </row>
    <row r="6" spans="1:6" ht="15.75" thickBot="1" x14ac:dyDescent="0.3">
      <c r="B6" s="267"/>
      <c r="C6" s="277"/>
      <c r="D6" s="271"/>
      <c r="E6" s="274"/>
      <c r="F6" s="275"/>
    </row>
    <row r="7" spans="1:6" ht="16.5" hidden="1" thickTop="1" thickBot="1" x14ac:dyDescent="0.3">
      <c r="B7" s="166" t="s">
        <v>9</v>
      </c>
      <c r="C7" s="128" t="s">
        <v>10</v>
      </c>
      <c r="D7" s="128" t="s">
        <v>11</v>
      </c>
      <c r="E7" s="62" t="s">
        <v>15</v>
      </c>
      <c r="F7" s="141" t="s">
        <v>13</v>
      </c>
    </row>
    <row r="8" spans="1:6" ht="15.75" thickTop="1" x14ac:dyDescent="0.25">
      <c r="B8" s="179" t="s">
        <v>20</v>
      </c>
      <c r="C8" s="106" t="s">
        <v>25</v>
      </c>
      <c r="D8" s="106">
        <v>69</v>
      </c>
      <c r="E8" s="330">
        <v>0.83099999999999996</v>
      </c>
      <c r="F8" s="167"/>
    </row>
    <row r="9" spans="1:6" ht="15.75" thickBot="1" x14ac:dyDescent="0.3">
      <c r="A9" s="35"/>
      <c r="B9" s="310"/>
      <c r="C9" s="174" t="s">
        <v>40</v>
      </c>
      <c r="D9" s="174">
        <v>14</v>
      </c>
      <c r="E9" s="331">
        <v>0.16900000000000001</v>
      </c>
      <c r="F9" s="145"/>
    </row>
    <row r="10" spans="1:6" ht="16.5" thickTop="1" thickBot="1" x14ac:dyDescent="0.3">
      <c r="B10" s="189" t="s">
        <v>28</v>
      </c>
      <c r="C10" s="103"/>
      <c r="D10" s="99">
        <f>SUM(D8:D9)</f>
        <v>83</v>
      </c>
      <c r="E10" s="332">
        <f>SUM(E8:E9)</f>
        <v>1</v>
      </c>
      <c r="F10" s="167"/>
    </row>
    <row r="11" spans="1:6" ht="15.75" thickTop="1" x14ac:dyDescent="0.25">
      <c r="B11" s="179" t="s">
        <v>21</v>
      </c>
      <c r="C11" s="181" t="s">
        <v>25</v>
      </c>
      <c r="D11" s="106">
        <v>66</v>
      </c>
      <c r="E11" s="330">
        <v>0.97099999999999997</v>
      </c>
      <c r="F11" s="167"/>
    </row>
    <row r="12" spans="1:6" ht="15.75" thickBot="1" x14ac:dyDescent="0.3">
      <c r="B12" s="310"/>
      <c r="C12" s="180" t="s">
        <v>40</v>
      </c>
      <c r="D12" s="106">
        <v>2</v>
      </c>
      <c r="E12" s="330">
        <v>2.9000000000000001E-2</v>
      </c>
      <c r="F12" s="167"/>
    </row>
    <row r="13" spans="1:6" ht="16.5" thickTop="1" thickBot="1" x14ac:dyDescent="0.3">
      <c r="B13" s="189" t="s">
        <v>28</v>
      </c>
      <c r="C13" s="188"/>
      <c r="D13" s="99">
        <f>SUM(D11:D12)</f>
        <v>68</v>
      </c>
      <c r="E13" s="187">
        <f>SUM(E11:E12)</f>
        <v>1</v>
      </c>
      <c r="F13" s="171"/>
    </row>
    <row r="14" spans="1:6" ht="15.75" thickTop="1" x14ac:dyDescent="0.25">
      <c r="B14" s="178" t="s">
        <v>202</v>
      </c>
      <c r="C14" s="181" t="s">
        <v>25</v>
      </c>
      <c r="D14" s="106">
        <v>155</v>
      </c>
      <c r="E14" s="333">
        <v>0.876</v>
      </c>
      <c r="F14" s="172"/>
    </row>
    <row r="15" spans="1:6" ht="15.75" thickBot="1" x14ac:dyDescent="0.3">
      <c r="B15" s="310"/>
      <c r="C15" s="180" t="s">
        <v>40</v>
      </c>
      <c r="D15" s="106">
        <v>22</v>
      </c>
      <c r="E15" s="327">
        <v>0.124</v>
      </c>
      <c r="F15" s="171"/>
    </row>
    <row r="16" spans="1:6" ht="17.25" thickTop="1" thickBot="1" x14ac:dyDescent="0.3">
      <c r="B16" s="182" t="s">
        <v>28</v>
      </c>
      <c r="C16" s="103"/>
      <c r="D16" s="99">
        <f>SUM(D14:D15)</f>
        <v>177</v>
      </c>
      <c r="E16" s="185">
        <f>SUM(E14:E15)</f>
        <v>1</v>
      </c>
      <c r="F16" s="147"/>
    </row>
    <row r="17" spans="2:6" ht="30.75" thickTop="1" x14ac:dyDescent="0.25">
      <c r="B17" s="190" t="s">
        <v>203</v>
      </c>
      <c r="C17" s="181" t="s">
        <v>25</v>
      </c>
      <c r="D17" s="106">
        <v>4</v>
      </c>
      <c r="E17" s="327">
        <v>0.8</v>
      </c>
      <c r="F17" s="170"/>
    </row>
    <row r="18" spans="2:6" ht="15.75" thickBot="1" x14ac:dyDescent="0.3">
      <c r="B18" s="310"/>
      <c r="C18" s="181" t="s">
        <v>40</v>
      </c>
      <c r="D18" s="106">
        <v>1</v>
      </c>
      <c r="E18" s="327">
        <v>0.2</v>
      </c>
      <c r="F18" s="169"/>
    </row>
    <row r="19" spans="2:6" ht="16.5" thickTop="1" thickBot="1" x14ac:dyDescent="0.3">
      <c r="B19" s="189" t="s">
        <v>28</v>
      </c>
      <c r="C19" s="191"/>
      <c r="D19" s="99">
        <f>SUM(D17:D18)</f>
        <v>5</v>
      </c>
      <c r="E19" s="187">
        <f>SUM(E17:E18)</f>
        <v>1</v>
      </c>
      <c r="F19" s="176"/>
    </row>
    <row r="20" spans="2:6" ht="15.75" thickTop="1" x14ac:dyDescent="0.25"/>
    <row r="21" spans="2:6" x14ac:dyDescent="0.25"/>
    <row r="22" spans="2:6" hidden="1" x14ac:dyDescent="0.25"/>
    <row r="23" spans="2:6" hidden="1" x14ac:dyDescent="0.25"/>
    <row r="24" spans="2:6" hidden="1" x14ac:dyDescent="0.25"/>
    <row r="25" spans="2:6" hidden="1" x14ac:dyDescent="0.25"/>
  </sheetData>
  <mergeCells count="5">
    <mergeCell ref="B4:C4"/>
    <mergeCell ref="B5:B6"/>
    <mergeCell ref="C5:C6"/>
    <mergeCell ref="D5:D6"/>
    <mergeCell ref="E5:F6"/>
  </mergeCells>
  <pageMargins left="0.7" right="0.7" top="0.75" bottom="0.75" header="0.3" footer="0.3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4"/>
  <sheetViews>
    <sheetView workbookViewId="0">
      <selection activeCell="A50" sqref="A50:XFD1048576"/>
    </sheetView>
  </sheetViews>
  <sheetFormatPr defaultColWidth="0" defaultRowHeight="15" zeroHeight="1" x14ac:dyDescent="0.25"/>
  <cols>
    <col min="1" max="1" width="6.42578125" customWidth="1"/>
    <col min="2" max="2" width="28.42578125" customWidth="1"/>
    <col min="3" max="6" width="16.28515625" customWidth="1"/>
    <col min="7" max="7" width="5.140625" customWidth="1"/>
    <col min="8" max="8" width="50.5703125" customWidth="1"/>
    <col min="9" max="9" width="4.85546875" customWidth="1"/>
    <col min="10" max="16384" width="16.28515625" hidden="1"/>
  </cols>
  <sheetData>
    <row r="1" spans="1:6" x14ac:dyDescent="0.25"/>
    <row r="2" spans="1:6" ht="18.75" x14ac:dyDescent="0.25">
      <c r="B2" s="351" t="s">
        <v>231</v>
      </c>
      <c r="C2" s="351"/>
      <c r="D2" s="351"/>
      <c r="E2" s="351"/>
      <c r="F2" s="351"/>
    </row>
    <row r="3" spans="1:6" x14ac:dyDescent="0.25"/>
    <row r="4" spans="1:6" ht="15.75" thickBot="1" x14ac:dyDescent="0.3">
      <c r="B4" s="216" t="s">
        <v>34</v>
      </c>
      <c r="C4" s="216"/>
      <c r="D4" s="54"/>
      <c r="E4" s="54"/>
      <c r="F4" s="54"/>
    </row>
    <row r="5" spans="1:6" ht="16.5" thickTop="1" thickBot="1" x14ac:dyDescent="0.3">
      <c r="B5" s="217" t="s">
        <v>209</v>
      </c>
      <c r="C5" s="197" t="s">
        <v>32</v>
      </c>
      <c r="D5" s="198"/>
      <c r="E5" s="205" t="s">
        <v>29</v>
      </c>
      <c r="F5" s="202" t="s">
        <v>16</v>
      </c>
    </row>
    <row r="6" spans="1:6" ht="15" customHeight="1" thickTop="1" thickBot="1" x14ac:dyDescent="0.3">
      <c r="A6" s="35"/>
      <c r="B6" s="248"/>
      <c r="C6" s="42" t="s">
        <v>40</v>
      </c>
      <c r="D6" s="43" t="s">
        <v>25</v>
      </c>
      <c r="E6" s="205"/>
      <c r="F6" s="211"/>
    </row>
    <row r="7" spans="1:6" ht="15" hidden="1" customHeight="1" thickTop="1" x14ac:dyDescent="0.25">
      <c r="A7" s="35"/>
      <c r="B7" s="58" t="s">
        <v>9</v>
      </c>
      <c r="C7" s="2" t="s">
        <v>10</v>
      </c>
      <c r="D7" s="24" t="s">
        <v>11</v>
      </c>
      <c r="E7" s="13" t="s">
        <v>15</v>
      </c>
      <c r="F7" s="56" t="s">
        <v>13</v>
      </c>
    </row>
    <row r="8" spans="1:6" ht="15.75" thickTop="1" x14ac:dyDescent="0.25">
      <c r="A8" s="35"/>
      <c r="B8" s="46" t="s">
        <v>210</v>
      </c>
      <c r="C8" s="25">
        <v>29</v>
      </c>
      <c r="D8" s="25">
        <v>184</v>
      </c>
      <c r="E8" s="279">
        <v>0.64</v>
      </c>
      <c r="F8" s="52">
        <f>Table2427811121317671527283422[[#This Row],[Column2]]+Table2427811121317671527283422[[#This Row],[Column3]]</f>
        <v>213</v>
      </c>
    </row>
    <row r="9" spans="1:6" ht="15" customHeight="1" x14ac:dyDescent="0.25">
      <c r="A9" s="35"/>
      <c r="B9" s="85" t="s">
        <v>211</v>
      </c>
      <c r="C9" s="71">
        <v>6</v>
      </c>
      <c r="D9" s="71">
        <v>60</v>
      </c>
      <c r="E9" s="282">
        <v>0.19800000000000001</v>
      </c>
      <c r="F9" s="52">
        <f>Table2427811121317671527283422[[#This Row],[Column2]]+Table2427811121317671527283422[[#This Row],[Column3]]</f>
        <v>66</v>
      </c>
    </row>
    <row r="10" spans="1:6" x14ac:dyDescent="0.25">
      <c r="A10" s="35"/>
      <c r="B10" s="33" t="s">
        <v>212</v>
      </c>
      <c r="C10" s="71">
        <v>2</v>
      </c>
      <c r="D10" s="71">
        <v>29</v>
      </c>
      <c r="E10" s="282">
        <v>9.2999999999999999E-2</v>
      </c>
      <c r="F10" s="52">
        <f>Table2427811121317671527283422[[#This Row],[Column2]]+Table2427811121317671527283422[[#This Row],[Column3]]</f>
        <v>31</v>
      </c>
    </row>
    <row r="11" spans="1:6" ht="15.75" thickBot="1" x14ac:dyDescent="0.3">
      <c r="A11" s="35"/>
      <c r="B11" s="33" t="s">
        <v>213</v>
      </c>
      <c r="C11" s="71">
        <v>2</v>
      </c>
      <c r="D11" s="71">
        <v>21</v>
      </c>
      <c r="E11" s="282">
        <v>6.9000000000000006E-2</v>
      </c>
      <c r="F11" s="52">
        <f>Table2427811121317671527283422[[#This Row],[Column2]]+Table2427811121317671527283422[[#This Row],[Column3]]</f>
        <v>23</v>
      </c>
    </row>
    <row r="12" spans="1:6" ht="16.5" thickTop="1" thickBot="1" x14ac:dyDescent="0.3">
      <c r="B12" s="84" t="s">
        <v>28</v>
      </c>
      <c r="C12" s="77">
        <f>SUM(C8:C11)</f>
        <v>39</v>
      </c>
      <c r="D12" s="77">
        <f>SUM(D8:D11)</f>
        <v>294</v>
      </c>
      <c r="E12" s="83">
        <f>SUM(E8:E11)</f>
        <v>1</v>
      </c>
      <c r="F12" s="80">
        <f>SUM(F8:F11)</f>
        <v>333</v>
      </c>
    </row>
    <row r="13" spans="1:6" ht="15" customHeight="1" thickTop="1" x14ac:dyDescent="0.25">
      <c r="B13" s="334"/>
    </row>
    <row r="14" spans="1:6" x14ac:dyDescent="0.25">
      <c r="B14" s="334"/>
    </row>
    <row r="15" spans="1:6" ht="15" customHeight="1" thickBot="1" x14ac:dyDescent="0.3">
      <c r="B15" s="216" t="s">
        <v>34</v>
      </c>
      <c r="C15" s="216"/>
      <c r="D15" s="54"/>
      <c r="E15" s="54"/>
      <c r="F15" s="54"/>
    </row>
    <row r="16" spans="1:6" ht="16.5" thickTop="1" thickBot="1" x14ac:dyDescent="0.3">
      <c r="A16" s="35"/>
      <c r="B16" s="335" t="s">
        <v>214</v>
      </c>
      <c r="C16" s="197" t="s">
        <v>32</v>
      </c>
      <c r="D16" s="198"/>
      <c r="E16" s="205" t="s">
        <v>29</v>
      </c>
      <c r="F16" s="202" t="s">
        <v>16</v>
      </c>
    </row>
    <row r="17" spans="1:6" ht="15" customHeight="1" thickTop="1" thickBot="1" x14ac:dyDescent="0.3">
      <c r="A17" s="35"/>
      <c r="B17" s="248"/>
      <c r="C17" s="42" t="s">
        <v>40</v>
      </c>
      <c r="D17" s="43" t="s">
        <v>25</v>
      </c>
      <c r="E17" s="205"/>
      <c r="F17" s="211"/>
    </row>
    <row r="18" spans="1:6" ht="15.75" hidden="1" thickTop="1" x14ac:dyDescent="0.25">
      <c r="A18" s="35"/>
      <c r="B18" s="58" t="s">
        <v>9</v>
      </c>
      <c r="C18" s="2" t="s">
        <v>10</v>
      </c>
      <c r="D18" s="24" t="s">
        <v>11</v>
      </c>
      <c r="E18" s="13" t="s">
        <v>15</v>
      </c>
      <c r="F18" s="56" t="s">
        <v>13</v>
      </c>
    </row>
    <row r="19" spans="1:6" ht="15.75" thickTop="1" x14ac:dyDescent="0.25">
      <c r="A19" s="35"/>
      <c r="B19" s="27" t="s">
        <v>218</v>
      </c>
      <c r="C19" s="26">
        <v>24</v>
      </c>
      <c r="D19" s="26">
        <v>160</v>
      </c>
      <c r="E19" s="336">
        <v>0.51</v>
      </c>
      <c r="F19" s="281">
        <v>184</v>
      </c>
    </row>
    <row r="20" spans="1:6" x14ac:dyDescent="0.25">
      <c r="A20" s="35"/>
      <c r="B20" s="85" t="s">
        <v>216</v>
      </c>
      <c r="C20" s="26">
        <v>14</v>
      </c>
      <c r="D20" s="26">
        <v>121</v>
      </c>
      <c r="E20" s="282">
        <v>0.374</v>
      </c>
      <c r="F20" s="52">
        <f>Table242781112131767152728342223[[#This Row],[Column2]]+Table242781112131767152728342223[[#This Row],[Column3]]</f>
        <v>135</v>
      </c>
    </row>
    <row r="21" spans="1:6" x14ac:dyDescent="0.25">
      <c r="A21" s="35"/>
      <c r="B21" s="46" t="s">
        <v>215</v>
      </c>
      <c r="C21" s="25">
        <v>1</v>
      </c>
      <c r="D21" s="25">
        <v>20</v>
      </c>
      <c r="E21" s="279">
        <v>5.8000000000000003E-2</v>
      </c>
      <c r="F21" s="52">
        <f>Table242781112131767152728342223[[#This Row],[Column2]]+Table242781112131767152728342223[[#This Row],[Column3]]</f>
        <v>21</v>
      </c>
    </row>
    <row r="22" spans="1:6" x14ac:dyDescent="0.25">
      <c r="A22" s="35"/>
      <c r="B22" s="33" t="s">
        <v>208</v>
      </c>
      <c r="C22" s="26">
        <v>2</v>
      </c>
      <c r="D22" s="26">
        <v>18</v>
      </c>
      <c r="E22" s="282">
        <v>5.5E-2</v>
      </c>
      <c r="F22" s="52">
        <f>Table242781112131767152728342223[[#This Row],[Column2]]+Table242781112131767152728342223[[#This Row],[Column3]]</f>
        <v>20</v>
      </c>
    </row>
    <row r="23" spans="1:6" ht="15.75" thickBot="1" x14ac:dyDescent="0.3">
      <c r="A23" s="35"/>
      <c r="B23" s="27" t="s">
        <v>217</v>
      </c>
      <c r="C23" s="26">
        <v>0</v>
      </c>
      <c r="D23" s="26">
        <v>1</v>
      </c>
      <c r="E23" s="336">
        <v>3.0000000000000001E-3</v>
      </c>
      <c r="F23" s="281">
        <f>SUM(Table242781112131767152728342223[[#This Row],[Column2]:[Column3]])</f>
        <v>1</v>
      </c>
    </row>
    <row r="24" spans="1:6" ht="16.5" thickTop="1" thickBot="1" x14ac:dyDescent="0.3">
      <c r="B24" s="84" t="s">
        <v>28</v>
      </c>
      <c r="C24" s="77">
        <f>SUM(C19:C23)</f>
        <v>41</v>
      </c>
      <c r="D24" s="77">
        <f t="shared" ref="D24:F24" si="0">SUM(D19:D23)</f>
        <v>320</v>
      </c>
      <c r="E24" s="337">
        <f>SUM(E19:E23)</f>
        <v>1</v>
      </c>
      <c r="F24" s="77">
        <f t="shared" si="0"/>
        <v>361</v>
      </c>
    </row>
    <row r="25" spans="1:6" ht="15.75" thickTop="1" x14ac:dyDescent="0.25">
      <c r="B25" s="334"/>
    </row>
    <row r="26" spans="1:6" x14ac:dyDescent="0.25">
      <c r="B26" s="334"/>
    </row>
    <row r="27" spans="1:6" ht="15.75" thickBot="1" x14ac:dyDescent="0.3">
      <c r="B27" s="216" t="s">
        <v>34</v>
      </c>
      <c r="C27" s="216"/>
      <c r="D27" s="54"/>
      <c r="E27" s="54"/>
      <c r="F27" s="54"/>
    </row>
    <row r="28" spans="1:6" ht="16.5" thickTop="1" thickBot="1" x14ac:dyDescent="0.3">
      <c r="A28" s="35"/>
      <c r="B28" s="335" t="s">
        <v>219</v>
      </c>
      <c r="C28" s="197" t="s">
        <v>32</v>
      </c>
      <c r="D28" s="198"/>
      <c r="E28" s="205" t="s">
        <v>29</v>
      </c>
      <c r="F28" s="251" t="s">
        <v>16</v>
      </c>
    </row>
    <row r="29" spans="1:6" ht="18.75" customHeight="1" thickTop="1" thickBot="1" x14ac:dyDescent="0.3">
      <c r="A29" s="35"/>
      <c r="B29" s="248"/>
      <c r="C29" s="124" t="s">
        <v>40</v>
      </c>
      <c r="D29" s="43" t="s">
        <v>25</v>
      </c>
      <c r="E29" s="205"/>
      <c r="F29" s="252"/>
    </row>
    <row r="30" spans="1:6" ht="15.75" hidden="1" thickTop="1" x14ac:dyDescent="0.25">
      <c r="B30" s="58" t="s">
        <v>9</v>
      </c>
      <c r="C30" s="2" t="s">
        <v>10</v>
      </c>
      <c r="D30" s="87" t="s">
        <v>11</v>
      </c>
      <c r="E30" s="62" t="s">
        <v>15</v>
      </c>
      <c r="F30" s="56" t="s">
        <v>13</v>
      </c>
    </row>
    <row r="31" spans="1:6" ht="15" customHeight="1" thickTop="1" x14ac:dyDescent="0.25">
      <c r="A31" s="35"/>
      <c r="B31" s="299" t="s">
        <v>221</v>
      </c>
      <c r="C31" s="340">
        <v>14</v>
      </c>
      <c r="D31" s="340">
        <v>145</v>
      </c>
      <c r="E31" s="341">
        <v>0.47799999999999998</v>
      </c>
      <c r="F31" s="281">
        <f>SUM(Table24278111213176715272834222324[[#This Row],[Column2]:[Column3]])</f>
        <v>159</v>
      </c>
    </row>
    <row r="32" spans="1:6" x14ac:dyDescent="0.25">
      <c r="A32" s="35"/>
      <c r="B32" s="149" t="s">
        <v>220</v>
      </c>
      <c r="C32" s="340">
        <v>22</v>
      </c>
      <c r="D32" s="340">
        <v>93</v>
      </c>
      <c r="E32" s="342">
        <v>0.34499999999999997</v>
      </c>
      <c r="F32" s="89">
        <f>Table24278111213176715272834222324[[#This Row],[Column2]]+Table24278111213176715272834222324[[#This Row],[Column3]]</f>
        <v>115</v>
      </c>
    </row>
    <row r="33" spans="1:8" ht="17.25" customHeight="1" thickBot="1" x14ac:dyDescent="0.3">
      <c r="A33" s="35"/>
      <c r="B33" s="338" t="s">
        <v>222</v>
      </c>
      <c r="C33" s="125">
        <v>3</v>
      </c>
      <c r="D33" s="125">
        <v>56</v>
      </c>
      <c r="E33" s="307">
        <v>0.17699999999999999</v>
      </c>
      <c r="F33" s="89">
        <f>Table24278111213176715272834222324[[#This Row],[Column2]]+Table24278111213176715272834222324[[#This Row],[Column3]]</f>
        <v>59</v>
      </c>
    </row>
    <row r="34" spans="1:8" ht="16.5" thickTop="1" thickBot="1" x14ac:dyDescent="0.3">
      <c r="B34" s="132" t="s">
        <v>28</v>
      </c>
      <c r="C34" s="101">
        <f>SUM(C31:C33)</f>
        <v>39</v>
      </c>
      <c r="D34" s="101">
        <f>SUM(D31:D33)</f>
        <v>294</v>
      </c>
      <c r="E34" s="343">
        <f>SUM(E31:E33)</f>
        <v>1</v>
      </c>
      <c r="F34" s="339">
        <f>SUM(F31:F33)</f>
        <v>333</v>
      </c>
    </row>
    <row r="35" spans="1:8" ht="15" customHeight="1" thickTop="1" x14ac:dyDescent="0.25">
      <c r="B35" s="334"/>
    </row>
    <row r="36" spans="1:8" x14ac:dyDescent="0.25">
      <c r="B36" s="334"/>
    </row>
    <row r="37" spans="1:8" ht="15" customHeight="1" x14ac:dyDescent="0.25">
      <c r="B37" s="334"/>
    </row>
    <row r="38" spans="1:8" ht="15.75" thickBot="1" x14ac:dyDescent="0.3">
      <c r="B38" s="263" t="s">
        <v>34</v>
      </c>
      <c r="C38" s="263"/>
      <c r="D38" s="54"/>
      <c r="E38" s="54"/>
      <c r="F38" s="54"/>
    </row>
    <row r="39" spans="1:8" ht="27" customHeight="1" thickTop="1" thickBot="1" x14ac:dyDescent="0.3">
      <c r="B39" s="217" t="s">
        <v>223</v>
      </c>
      <c r="C39" s="197" t="s">
        <v>66</v>
      </c>
      <c r="D39" s="198"/>
      <c r="E39" s="205" t="s">
        <v>29</v>
      </c>
      <c r="F39" s="251" t="s">
        <v>16</v>
      </c>
    </row>
    <row r="40" spans="1:8" ht="39.75" customHeight="1" thickTop="1" thickBot="1" x14ac:dyDescent="0.3">
      <c r="B40" s="196"/>
      <c r="C40" s="124" t="s">
        <v>68</v>
      </c>
      <c r="D40" s="123" t="s">
        <v>25</v>
      </c>
      <c r="E40" s="205"/>
      <c r="F40" s="252"/>
      <c r="H40" s="350" t="s">
        <v>230</v>
      </c>
    </row>
    <row r="41" spans="1:8" ht="16.5" hidden="1" thickTop="1" thickBot="1" x14ac:dyDescent="0.3">
      <c r="B41" s="58" t="s">
        <v>9</v>
      </c>
      <c r="C41" s="2" t="s">
        <v>10</v>
      </c>
      <c r="D41" s="128" t="s">
        <v>11</v>
      </c>
      <c r="E41" s="126" t="s">
        <v>15</v>
      </c>
      <c r="F41" s="56" t="s">
        <v>13</v>
      </c>
      <c r="H41" s="141"/>
    </row>
    <row r="42" spans="1:8" ht="15.75" thickTop="1" x14ac:dyDescent="0.25">
      <c r="B42" s="122" t="s">
        <v>65</v>
      </c>
      <c r="C42" s="131">
        <v>39</v>
      </c>
      <c r="D42" s="344">
        <v>288</v>
      </c>
      <c r="E42" s="306">
        <v>0.98199999999999998</v>
      </c>
      <c r="F42" s="91">
        <f>SUM(Table24278111213173335[[#This Row],[Column2]:[Column3]])</f>
        <v>327</v>
      </c>
      <c r="H42" s="347" t="s">
        <v>224</v>
      </c>
    </row>
    <row r="43" spans="1:8" ht="15" customHeight="1" thickBot="1" x14ac:dyDescent="0.3">
      <c r="B43" s="137" t="s">
        <v>64</v>
      </c>
      <c r="C43" s="98">
        <v>0</v>
      </c>
      <c r="D43" s="98">
        <v>6</v>
      </c>
      <c r="E43" s="345">
        <v>1.7999999999999999E-2</v>
      </c>
      <c r="F43" s="57">
        <f>SUM(Table24278111213173335[[#This Row],[Column2]:[Column3]])</f>
        <v>6</v>
      </c>
      <c r="H43" s="348" t="s">
        <v>225</v>
      </c>
    </row>
    <row r="44" spans="1:8" ht="16.5" thickTop="1" thickBot="1" x14ac:dyDescent="0.3">
      <c r="B44" s="150" t="s">
        <v>28</v>
      </c>
      <c r="C44" s="151">
        <f>SUM(C42:C43)</f>
        <v>39</v>
      </c>
      <c r="D44" s="101">
        <f>SUM(D42:D43)</f>
        <v>294</v>
      </c>
      <c r="E44" s="346">
        <f>SUM(E42:E43)</f>
        <v>1</v>
      </c>
      <c r="F44" s="57">
        <f>SUM(F42:F43)</f>
        <v>333</v>
      </c>
      <c r="H44" s="348" t="s">
        <v>226</v>
      </c>
    </row>
    <row r="45" spans="1:8" ht="15.75" customHeight="1" thickTop="1" x14ac:dyDescent="0.25">
      <c r="B45" s="334"/>
      <c r="H45" s="348" t="s">
        <v>227</v>
      </c>
    </row>
    <row r="46" spans="1:8" x14ac:dyDescent="0.25">
      <c r="B46" s="334"/>
      <c r="H46" s="348" t="s">
        <v>228</v>
      </c>
    </row>
    <row r="47" spans="1:8" ht="15.75" customHeight="1" thickBot="1" x14ac:dyDescent="0.3">
      <c r="B47" s="334"/>
      <c r="H47" s="349" t="s">
        <v>229</v>
      </c>
    </row>
    <row r="48" spans="1:8" ht="15.75" thickTop="1" x14ac:dyDescent="0.25">
      <c r="B48" s="334"/>
    </row>
    <row r="49" spans="2:2" x14ac:dyDescent="0.25">
      <c r="B49" s="334"/>
    </row>
    <row r="50" spans="2:2" hidden="1" x14ac:dyDescent="0.25">
      <c r="B50" s="334"/>
    </row>
    <row r="51" spans="2:2" ht="15" hidden="1" customHeight="1" x14ac:dyDescent="0.25">
      <c r="B51" s="334"/>
    </row>
    <row r="52" spans="2:2" hidden="1" x14ac:dyDescent="0.25">
      <c r="B52" s="334"/>
    </row>
    <row r="53" spans="2:2" ht="15.75" hidden="1" customHeight="1" x14ac:dyDescent="0.25">
      <c r="B53" s="334"/>
    </row>
    <row r="54" spans="2:2" hidden="1" x14ac:dyDescent="0.25">
      <c r="B54" s="334"/>
    </row>
    <row r="55" spans="2:2" ht="15.75" hidden="1" customHeight="1" x14ac:dyDescent="0.25">
      <c r="B55" s="334"/>
    </row>
    <row r="56" spans="2:2" hidden="1" x14ac:dyDescent="0.25">
      <c r="B56" s="334"/>
    </row>
    <row r="57" spans="2:2" hidden="1" x14ac:dyDescent="0.25">
      <c r="B57" s="334"/>
    </row>
    <row r="58" spans="2:2" hidden="1" x14ac:dyDescent="0.25">
      <c r="B58" s="334"/>
    </row>
    <row r="59" spans="2:2" ht="15" hidden="1" customHeight="1" x14ac:dyDescent="0.25">
      <c r="B59" s="334"/>
    </row>
    <row r="60" spans="2:2" hidden="1" x14ac:dyDescent="0.25">
      <c r="B60" s="334"/>
    </row>
    <row r="61" spans="2:2" ht="15.75" hidden="1" customHeight="1" x14ac:dyDescent="0.25">
      <c r="B61" s="334"/>
    </row>
    <row r="62" spans="2:2" hidden="1" x14ac:dyDescent="0.25">
      <c r="B62" s="334"/>
    </row>
    <row r="63" spans="2:2" ht="15.75" hidden="1" customHeight="1" x14ac:dyDescent="0.25">
      <c r="B63" s="334"/>
    </row>
    <row r="64" spans="2:2" hidden="1" x14ac:dyDescent="0.25">
      <c r="B64" s="334"/>
    </row>
    <row r="65" spans="2:2" hidden="1" x14ac:dyDescent="0.25">
      <c r="B65" s="334"/>
    </row>
    <row r="66" spans="2:2" hidden="1" x14ac:dyDescent="0.25">
      <c r="B66" s="334"/>
    </row>
    <row r="67" spans="2:2" ht="15" hidden="1" customHeight="1" x14ac:dyDescent="0.25">
      <c r="B67" s="334"/>
    </row>
    <row r="68" spans="2:2" hidden="1" x14ac:dyDescent="0.25">
      <c r="B68" s="334"/>
    </row>
    <row r="69" spans="2:2" ht="15.75" hidden="1" customHeight="1" x14ac:dyDescent="0.25">
      <c r="B69" s="334"/>
    </row>
    <row r="70" spans="2:2" hidden="1" x14ac:dyDescent="0.25">
      <c r="B70" s="334"/>
    </row>
    <row r="71" spans="2:2" ht="36.75" hidden="1" customHeight="1" x14ac:dyDescent="0.25">
      <c r="B71" s="334"/>
    </row>
    <row r="72" spans="2:2" ht="24" hidden="1" customHeight="1" x14ac:dyDescent="0.25">
      <c r="B72" s="334"/>
    </row>
    <row r="73" spans="2:2" ht="36" hidden="1" customHeight="1" x14ac:dyDescent="0.25">
      <c r="B73" s="334"/>
    </row>
    <row r="74" spans="2:2" hidden="1" x14ac:dyDescent="0.25">
      <c r="B74" s="334"/>
    </row>
    <row r="75" spans="2:2" hidden="1" x14ac:dyDescent="0.25">
      <c r="B75" s="334"/>
    </row>
    <row r="76" spans="2:2" ht="15" hidden="1" customHeight="1" x14ac:dyDescent="0.25">
      <c r="B76" s="334"/>
    </row>
    <row r="77" spans="2:2" hidden="1" x14ac:dyDescent="0.25">
      <c r="B77" s="334"/>
    </row>
    <row r="78" spans="2:2" ht="15.75" hidden="1" customHeight="1" x14ac:dyDescent="0.25">
      <c r="B78" s="334"/>
    </row>
    <row r="79" spans="2:2" hidden="1" x14ac:dyDescent="0.25">
      <c r="B79" s="334"/>
    </row>
    <row r="80" spans="2:2" hidden="1" x14ac:dyDescent="0.25">
      <c r="B80" s="334"/>
    </row>
    <row r="81" spans="2:2" ht="108" hidden="1" customHeight="1" x14ac:dyDescent="0.25">
      <c r="B81" s="334"/>
    </row>
    <row r="82" spans="2:2" ht="156" hidden="1" customHeight="1" x14ac:dyDescent="0.25">
      <c r="B82" s="334"/>
    </row>
    <row r="83" spans="2:2" ht="72" hidden="1" customHeight="1" x14ac:dyDescent="0.25">
      <c r="B83" s="334"/>
    </row>
    <row r="84" spans="2:2" ht="72" hidden="1" customHeight="1" x14ac:dyDescent="0.25">
      <c r="B84" s="334"/>
    </row>
    <row r="85" spans="2:2" ht="48" hidden="1" customHeight="1" x14ac:dyDescent="0.25">
      <c r="B85" s="334"/>
    </row>
    <row r="86" spans="2:2" ht="60" hidden="1" customHeight="1" x14ac:dyDescent="0.25">
      <c r="B86" s="334"/>
    </row>
    <row r="87" spans="2:2" ht="48" hidden="1" customHeight="1" x14ac:dyDescent="0.25">
      <c r="B87" s="334"/>
    </row>
    <row r="88" spans="2:2" ht="24" hidden="1" customHeight="1" x14ac:dyDescent="0.25">
      <c r="B88" s="334"/>
    </row>
    <row r="89" spans="2:2" ht="24" hidden="1" customHeight="1" x14ac:dyDescent="0.25">
      <c r="B89" s="334"/>
    </row>
    <row r="90" spans="2:2" ht="84" hidden="1" customHeight="1" x14ac:dyDescent="0.25">
      <c r="B90" s="334"/>
    </row>
    <row r="91" spans="2:2" ht="36" hidden="1" customHeight="1" x14ac:dyDescent="0.25">
      <c r="B91" s="334"/>
    </row>
    <row r="92" spans="2:2" ht="24" hidden="1" customHeight="1" x14ac:dyDescent="0.25">
      <c r="B92" s="334"/>
    </row>
    <row r="93" spans="2:2" ht="48" hidden="1" customHeight="1" x14ac:dyDescent="0.25">
      <c r="B93" s="334"/>
    </row>
    <row r="94" spans="2:2" ht="72" hidden="1" customHeight="1" x14ac:dyDescent="0.25">
      <c r="B94" s="334"/>
    </row>
    <row r="95" spans="2:2" ht="60" hidden="1" customHeight="1" x14ac:dyDescent="0.25">
      <c r="B95" s="334"/>
    </row>
    <row r="96" spans="2:2" ht="72" hidden="1" customHeight="1" x14ac:dyDescent="0.25">
      <c r="B96" s="334"/>
    </row>
    <row r="97" spans="2:2" ht="60" hidden="1" customHeight="1" x14ac:dyDescent="0.25">
      <c r="B97" s="334"/>
    </row>
    <row r="98" spans="2:2" ht="36" hidden="1" customHeight="1" x14ac:dyDescent="0.25">
      <c r="B98" s="334"/>
    </row>
    <row r="99" spans="2:2" ht="48" hidden="1" customHeight="1" x14ac:dyDescent="0.25">
      <c r="B99" s="334"/>
    </row>
    <row r="100" spans="2:2" ht="60" hidden="1" customHeight="1" x14ac:dyDescent="0.25">
      <c r="B100" s="334"/>
    </row>
    <row r="101" spans="2:2" ht="36" hidden="1" customHeight="1" x14ac:dyDescent="0.25">
      <c r="B101" s="334"/>
    </row>
    <row r="102" spans="2:2" ht="36" hidden="1" customHeight="1" x14ac:dyDescent="0.25">
      <c r="B102" s="334"/>
    </row>
    <row r="103" spans="2:2" ht="72" hidden="1" customHeight="1" x14ac:dyDescent="0.25">
      <c r="B103" s="334"/>
    </row>
    <row r="104" spans="2:2" ht="72" hidden="1" customHeight="1" x14ac:dyDescent="0.25">
      <c r="B104" s="334"/>
    </row>
    <row r="105" spans="2:2" ht="36" hidden="1" customHeight="1" x14ac:dyDescent="0.25">
      <c r="B105" s="334"/>
    </row>
    <row r="106" spans="2:2" ht="48" hidden="1" customHeight="1" x14ac:dyDescent="0.25">
      <c r="B106" s="334"/>
    </row>
    <row r="107" spans="2:2" ht="36" hidden="1" customHeight="1" x14ac:dyDescent="0.25">
      <c r="B107" s="334"/>
    </row>
    <row r="108" spans="2:2" ht="36" hidden="1" customHeight="1" x14ac:dyDescent="0.25">
      <c r="B108" s="334"/>
    </row>
    <row r="109" spans="2:2" ht="48" hidden="1" customHeight="1" x14ac:dyDescent="0.25">
      <c r="B109" s="334"/>
    </row>
    <row r="110" spans="2:2" ht="72" hidden="1" customHeight="1" x14ac:dyDescent="0.25">
      <c r="B110" s="334"/>
    </row>
    <row r="111" spans="2:2" ht="48" hidden="1" customHeight="1" x14ac:dyDescent="0.25">
      <c r="B111" s="334"/>
    </row>
    <row r="112" spans="2:2" ht="60" hidden="1" customHeight="1" x14ac:dyDescent="0.25">
      <c r="B112" s="334"/>
    </row>
    <row r="113" spans="2:2" ht="72" hidden="1" customHeight="1" x14ac:dyDescent="0.25">
      <c r="B113" s="334"/>
    </row>
    <row r="114" spans="2:2" ht="36" hidden="1" customHeight="1" x14ac:dyDescent="0.25">
      <c r="B114" s="334"/>
    </row>
    <row r="115" spans="2:2" ht="60" hidden="1" customHeight="1" x14ac:dyDescent="0.25">
      <c r="B115" s="334"/>
    </row>
    <row r="116" spans="2:2" ht="60" hidden="1" customHeight="1" x14ac:dyDescent="0.25">
      <c r="B116" s="334"/>
    </row>
    <row r="117" spans="2:2" ht="48" hidden="1" customHeight="1" x14ac:dyDescent="0.25">
      <c r="B117" s="334"/>
    </row>
    <row r="118" spans="2:2" ht="36" hidden="1" customHeight="1" x14ac:dyDescent="0.25">
      <c r="B118" s="334"/>
    </row>
    <row r="119" spans="2:2" ht="48" hidden="1" customHeight="1" x14ac:dyDescent="0.25">
      <c r="B119" s="334"/>
    </row>
    <row r="120" spans="2:2" ht="60" hidden="1" customHeight="1" x14ac:dyDescent="0.25">
      <c r="B120" s="334"/>
    </row>
    <row r="121" spans="2:2" ht="72" hidden="1" customHeight="1" x14ac:dyDescent="0.25">
      <c r="B121" s="334"/>
    </row>
    <row r="122" spans="2:2" ht="24" hidden="1" customHeight="1" x14ac:dyDescent="0.25">
      <c r="B122" s="334"/>
    </row>
    <row r="123" spans="2:2" ht="36" hidden="1" customHeight="1" x14ac:dyDescent="0.25">
      <c r="B123" s="334"/>
    </row>
    <row r="124" spans="2:2" ht="36" hidden="1" customHeight="1" x14ac:dyDescent="0.25">
      <c r="B124" s="334"/>
    </row>
    <row r="125" spans="2:2" ht="24" hidden="1" customHeight="1" x14ac:dyDescent="0.25">
      <c r="B125" s="334"/>
    </row>
    <row r="126" spans="2:2" ht="36" hidden="1" customHeight="1" x14ac:dyDescent="0.25">
      <c r="B126" s="334"/>
    </row>
    <row r="127" spans="2:2" ht="36" hidden="1" customHeight="1" x14ac:dyDescent="0.25">
      <c r="B127" s="334"/>
    </row>
    <row r="128" spans="2:2" ht="48" hidden="1" customHeight="1" x14ac:dyDescent="0.25">
      <c r="B128" s="334"/>
    </row>
    <row r="129" spans="2:2" ht="72" hidden="1" customHeight="1" x14ac:dyDescent="0.25">
      <c r="B129" s="334"/>
    </row>
    <row r="130" spans="2:2" ht="36" hidden="1" customHeight="1" x14ac:dyDescent="0.25">
      <c r="B130" s="334"/>
    </row>
    <row r="131" spans="2:2" ht="132" hidden="1" customHeight="1" x14ac:dyDescent="0.25">
      <c r="B131" s="334"/>
    </row>
    <row r="132" spans="2:2" ht="48" hidden="1" customHeight="1" x14ac:dyDescent="0.25">
      <c r="B132" s="334"/>
    </row>
    <row r="133" spans="2:2" ht="72" hidden="1" customHeight="1" x14ac:dyDescent="0.25">
      <c r="B133" s="334"/>
    </row>
    <row r="134" spans="2:2" ht="48" hidden="1" customHeight="1" x14ac:dyDescent="0.25">
      <c r="B134" s="334"/>
    </row>
    <row r="135" spans="2:2" ht="48" hidden="1" customHeight="1" x14ac:dyDescent="0.25">
      <c r="B135" s="334"/>
    </row>
    <row r="136" spans="2:2" ht="36" hidden="1" customHeight="1" x14ac:dyDescent="0.25">
      <c r="B136" s="334"/>
    </row>
    <row r="137" spans="2:2" ht="60" hidden="1" customHeight="1" x14ac:dyDescent="0.25">
      <c r="B137" s="334"/>
    </row>
    <row r="138" spans="2:2" ht="60" hidden="1" customHeight="1" x14ac:dyDescent="0.25">
      <c r="B138" s="334"/>
    </row>
    <row r="139" spans="2:2" ht="36" hidden="1" customHeight="1" x14ac:dyDescent="0.25">
      <c r="B139" s="334"/>
    </row>
    <row r="140" spans="2:2" ht="72" hidden="1" customHeight="1" x14ac:dyDescent="0.25">
      <c r="B140" s="334"/>
    </row>
    <row r="141" spans="2:2" ht="36" hidden="1" customHeight="1" x14ac:dyDescent="0.25">
      <c r="B141" s="334"/>
    </row>
    <row r="142" spans="2:2" ht="72" hidden="1" customHeight="1" x14ac:dyDescent="0.25">
      <c r="B142" s="334"/>
    </row>
    <row r="143" spans="2:2" ht="72" hidden="1" customHeight="1" x14ac:dyDescent="0.25">
      <c r="B143" s="334"/>
    </row>
    <row r="144" spans="2:2" ht="48" hidden="1" customHeight="1" x14ac:dyDescent="0.25">
      <c r="B144" s="334"/>
    </row>
    <row r="145" spans="2:2" ht="84" hidden="1" customHeight="1" x14ac:dyDescent="0.25">
      <c r="B145" s="334"/>
    </row>
    <row r="146" spans="2:2" ht="36" hidden="1" customHeight="1" x14ac:dyDescent="0.25">
      <c r="B146" s="334"/>
    </row>
    <row r="147" spans="2:2" ht="24" hidden="1" customHeight="1" x14ac:dyDescent="0.25">
      <c r="B147" s="334"/>
    </row>
    <row r="148" spans="2:2" ht="24" hidden="1" customHeight="1" x14ac:dyDescent="0.25">
      <c r="B148" s="334"/>
    </row>
    <row r="149" spans="2:2" ht="48" hidden="1" customHeight="1" x14ac:dyDescent="0.25">
      <c r="B149" s="334"/>
    </row>
    <row r="150" spans="2:2" ht="72" hidden="1" customHeight="1" x14ac:dyDescent="0.25">
      <c r="B150" s="334"/>
    </row>
    <row r="151" spans="2:2" ht="24" hidden="1" customHeight="1" x14ac:dyDescent="0.25">
      <c r="B151" s="334"/>
    </row>
    <row r="152" spans="2:2" ht="36" hidden="1" customHeight="1" x14ac:dyDescent="0.25">
      <c r="B152" s="334"/>
    </row>
    <row r="153" spans="2:2" hidden="1" x14ac:dyDescent="0.25">
      <c r="B153" s="334"/>
    </row>
    <row r="154" spans="2:2" ht="72" hidden="1" customHeight="1" x14ac:dyDescent="0.25">
      <c r="B154" s="334"/>
    </row>
    <row r="155" spans="2:2" ht="36" hidden="1" customHeight="1" x14ac:dyDescent="0.25">
      <c r="B155" s="334"/>
    </row>
    <row r="156" spans="2:2" ht="48" hidden="1" customHeight="1" x14ac:dyDescent="0.25">
      <c r="B156" s="334"/>
    </row>
    <row r="157" spans="2:2" ht="48" hidden="1" customHeight="1" x14ac:dyDescent="0.25">
      <c r="B157" s="334"/>
    </row>
    <row r="158" spans="2:2" ht="36" hidden="1" customHeight="1" x14ac:dyDescent="0.25">
      <c r="B158" s="334"/>
    </row>
    <row r="159" spans="2:2" ht="108" hidden="1" customHeight="1" x14ac:dyDescent="0.25">
      <c r="B159" s="334"/>
    </row>
    <row r="160" spans="2:2" ht="72" hidden="1" customHeight="1" x14ac:dyDescent="0.25">
      <c r="B160" s="334"/>
    </row>
    <row r="161" spans="2:2" ht="36" hidden="1" customHeight="1" x14ac:dyDescent="0.25">
      <c r="B161" s="334"/>
    </row>
    <row r="162" spans="2:2" ht="72" hidden="1" customHeight="1" x14ac:dyDescent="0.25">
      <c r="B162" s="334"/>
    </row>
    <row r="163" spans="2:2" ht="60" hidden="1" customHeight="1" x14ac:dyDescent="0.25">
      <c r="B163" s="334"/>
    </row>
    <row r="164" spans="2:2" ht="96" hidden="1" customHeight="1" x14ac:dyDescent="0.25">
      <c r="B164" s="334"/>
    </row>
    <row r="165" spans="2:2" ht="48" hidden="1" customHeight="1" x14ac:dyDescent="0.25">
      <c r="B165" s="334"/>
    </row>
    <row r="166" spans="2:2" ht="24" hidden="1" customHeight="1" x14ac:dyDescent="0.25">
      <c r="B166" s="334"/>
    </row>
    <row r="167" spans="2:2" ht="24" hidden="1" customHeight="1" x14ac:dyDescent="0.25">
      <c r="B167" s="334"/>
    </row>
    <row r="168" spans="2:2" ht="24" hidden="1" customHeight="1" x14ac:dyDescent="0.25">
      <c r="B168" s="334"/>
    </row>
    <row r="169" spans="2:2" ht="24" hidden="1" customHeight="1" x14ac:dyDescent="0.25">
      <c r="B169" s="334"/>
    </row>
    <row r="170" spans="2:2" ht="84" hidden="1" customHeight="1" x14ac:dyDescent="0.25">
      <c r="B170" s="334"/>
    </row>
    <row r="171" spans="2:2" ht="60" hidden="1" customHeight="1" x14ac:dyDescent="0.25">
      <c r="B171" s="334"/>
    </row>
    <row r="172" spans="2:2" ht="72" hidden="1" customHeight="1" x14ac:dyDescent="0.25">
      <c r="B172" s="334"/>
    </row>
    <row r="173" spans="2:2" ht="24" hidden="1" customHeight="1" x14ac:dyDescent="0.25">
      <c r="B173" s="334"/>
    </row>
    <row r="174" spans="2:2" ht="36" hidden="1" customHeight="1" x14ac:dyDescent="0.25">
      <c r="B174" s="334"/>
    </row>
    <row r="175" spans="2:2" ht="36" hidden="1" customHeight="1" x14ac:dyDescent="0.25">
      <c r="B175" s="334"/>
    </row>
    <row r="176" spans="2:2" ht="24" hidden="1" customHeight="1" x14ac:dyDescent="0.25">
      <c r="B176" s="334"/>
    </row>
    <row r="177" spans="2:2" ht="36" hidden="1" customHeight="1" x14ac:dyDescent="0.25">
      <c r="B177" s="334"/>
    </row>
    <row r="178" spans="2:2" ht="60" hidden="1" customHeight="1" x14ac:dyDescent="0.25">
      <c r="B178" s="334"/>
    </row>
    <row r="179" spans="2:2" ht="48" hidden="1" customHeight="1" x14ac:dyDescent="0.25">
      <c r="B179" s="334"/>
    </row>
    <row r="180" spans="2:2" ht="36" hidden="1" customHeight="1" x14ac:dyDescent="0.25">
      <c r="B180" s="334"/>
    </row>
    <row r="181" spans="2:2" ht="24" hidden="1" customHeight="1" x14ac:dyDescent="0.25">
      <c r="B181" s="334"/>
    </row>
    <row r="182" spans="2:2" ht="60" hidden="1" customHeight="1" x14ac:dyDescent="0.25">
      <c r="B182" s="334"/>
    </row>
    <row r="183" spans="2:2" ht="60" hidden="1" customHeight="1" x14ac:dyDescent="0.25">
      <c r="B183" s="334"/>
    </row>
    <row r="184" spans="2:2" ht="60" hidden="1" customHeight="1" x14ac:dyDescent="0.25">
      <c r="B184" s="334"/>
    </row>
    <row r="185" spans="2:2" ht="36" hidden="1" customHeight="1" x14ac:dyDescent="0.25">
      <c r="B185" s="334"/>
    </row>
    <row r="186" spans="2:2" ht="36" hidden="1" customHeight="1" x14ac:dyDescent="0.25">
      <c r="B186" s="334"/>
    </row>
    <row r="187" spans="2:2" ht="36" hidden="1" customHeight="1" x14ac:dyDescent="0.25">
      <c r="B187" s="334"/>
    </row>
    <row r="188" spans="2:2" ht="24" hidden="1" customHeight="1" x14ac:dyDescent="0.25">
      <c r="B188" s="334"/>
    </row>
    <row r="189" spans="2:2" ht="24" hidden="1" customHeight="1" x14ac:dyDescent="0.25">
      <c r="B189" s="334"/>
    </row>
    <row r="190" spans="2:2" ht="36" hidden="1" customHeight="1" x14ac:dyDescent="0.25">
      <c r="B190" s="334"/>
    </row>
    <row r="191" spans="2:2" ht="60" hidden="1" customHeight="1" x14ac:dyDescent="0.25">
      <c r="B191" s="334"/>
    </row>
    <row r="192" spans="2:2" ht="48" hidden="1" customHeight="1" x14ac:dyDescent="0.25">
      <c r="B192" s="334"/>
    </row>
    <row r="193" spans="2:2" ht="48" hidden="1" customHeight="1" x14ac:dyDescent="0.25">
      <c r="B193" s="334"/>
    </row>
    <row r="194" spans="2:2" ht="24" hidden="1" customHeight="1" x14ac:dyDescent="0.25">
      <c r="B194" s="334"/>
    </row>
    <row r="195" spans="2:2" ht="108" hidden="1" customHeight="1" x14ac:dyDescent="0.25">
      <c r="B195" s="334"/>
    </row>
    <row r="196" spans="2:2" ht="36" hidden="1" customHeight="1" x14ac:dyDescent="0.25">
      <c r="B196" s="334"/>
    </row>
    <row r="197" spans="2:2" ht="36" hidden="1" customHeight="1" x14ac:dyDescent="0.25">
      <c r="B197" s="334"/>
    </row>
    <row r="198" spans="2:2" ht="72" hidden="1" customHeight="1" x14ac:dyDescent="0.25">
      <c r="B198" s="334"/>
    </row>
    <row r="199" spans="2:2" ht="36" hidden="1" customHeight="1" x14ac:dyDescent="0.25">
      <c r="B199" s="334"/>
    </row>
    <row r="200" spans="2:2" ht="84" hidden="1" customHeight="1" x14ac:dyDescent="0.25">
      <c r="B200" s="334"/>
    </row>
    <row r="201" spans="2:2" ht="60" hidden="1" customHeight="1" x14ac:dyDescent="0.25">
      <c r="B201" s="334"/>
    </row>
    <row r="202" spans="2:2" ht="72" hidden="1" customHeight="1" x14ac:dyDescent="0.25">
      <c r="B202" s="334"/>
    </row>
    <row r="203" spans="2:2" ht="36" hidden="1" customHeight="1" x14ac:dyDescent="0.25">
      <c r="B203" s="334"/>
    </row>
    <row r="204" spans="2:2" ht="132" hidden="1" customHeight="1" x14ac:dyDescent="0.25">
      <c r="B204" s="334"/>
    </row>
    <row r="205" spans="2:2" ht="24" hidden="1" customHeight="1" x14ac:dyDescent="0.25">
      <c r="B205" s="334"/>
    </row>
    <row r="206" spans="2:2" ht="24" hidden="1" customHeight="1" x14ac:dyDescent="0.25">
      <c r="B206" s="334"/>
    </row>
    <row r="207" spans="2:2" ht="72" hidden="1" customHeight="1" x14ac:dyDescent="0.25">
      <c r="B207" s="334"/>
    </row>
    <row r="208" spans="2:2" ht="96" hidden="1" customHeight="1" x14ac:dyDescent="0.25">
      <c r="B208" s="334"/>
    </row>
    <row r="209" spans="2:2" ht="96" hidden="1" customHeight="1" x14ac:dyDescent="0.25">
      <c r="B209" s="334"/>
    </row>
    <row r="210" spans="2:2" ht="36" hidden="1" customHeight="1" x14ac:dyDescent="0.25">
      <c r="B210" s="334"/>
    </row>
    <row r="211" spans="2:2" ht="24" hidden="1" customHeight="1" x14ac:dyDescent="0.25">
      <c r="B211" s="334"/>
    </row>
    <row r="212" spans="2:2" ht="36" hidden="1" customHeight="1" x14ac:dyDescent="0.25">
      <c r="B212" s="334"/>
    </row>
    <row r="213" spans="2:2" ht="60" hidden="1" customHeight="1" x14ac:dyDescent="0.25">
      <c r="B213" s="334"/>
    </row>
    <row r="214" spans="2:2" ht="48" hidden="1" customHeight="1" x14ac:dyDescent="0.25">
      <c r="B214" s="334"/>
    </row>
    <row r="215" spans="2:2" ht="24" hidden="1" customHeight="1" x14ac:dyDescent="0.25">
      <c r="B215" s="334"/>
    </row>
    <row r="216" spans="2:2" ht="24" hidden="1" customHeight="1" x14ac:dyDescent="0.25">
      <c r="B216" s="334"/>
    </row>
    <row r="217" spans="2:2" ht="72" hidden="1" customHeight="1" x14ac:dyDescent="0.25">
      <c r="B217" s="334"/>
    </row>
    <row r="218" spans="2:2" ht="36" hidden="1" customHeight="1" x14ac:dyDescent="0.25">
      <c r="B218" s="334"/>
    </row>
    <row r="219" spans="2:2" ht="36" hidden="1" customHeight="1" x14ac:dyDescent="0.25">
      <c r="B219" s="334"/>
    </row>
    <row r="220" spans="2:2" ht="36" hidden="1" customHeight="1" x14ac:dyDescent="0.25">
      <c r="B220" s="334"/>
    </row>
    <row r="221" spans="2:2" ht="48" hidden="1" customHeight="1" x14ac:dyDescent="0.25">
      <c r="B221" s="334"/>
    </row>
    <row r="222" spans="2:2" ht="36" hidden="1" customHeight="1" x14ac:dyDescent="0.25">
      <c r="B222" s="334"/>
    </row>
    <row r="223" spans="2:2" ht="48" hidden="1" customHeight="1" x14ac:dyDescent="0.25">
      <c r="B223" s="334"/>
    </row>
    <row r="224" spans="2:2" ht="24" hidden="1" customHeight="1" x14ac:dyDescent="0.25">
      <c r="B224" s="334"/>
    </row>
    <row r="225" spans="2:2" ht="36" hidden="1" customHeight="1" x14ac:dyDescent="0.25">
      <c r="B225" s="334"/>
    </row>
    <row r="226" spans="2:2" ht="24" hidden="1" customHeight="1" x14ac:dyDescent="0.25">
      <c r="B226" s="334"/>
    </row>
    <row r="227" spans="2:2" ht="36" hidden="1" customHeight="1" x14ac:dyDescent="0.25">
      <c r="B227" s="334"/>
    </row>
    <row r="228" spans="2:2" ht="36" hidden="1" customHeight="1" x14ac:dyDescent="0.25">
      <c r="B228" s="334"/>
    </row>
    <row r="229" spans="2:2" ht="48" hidden="1" customHeight="1" x14ac:dyDescent="0.25">
      <c r="B229" s="334"/>
    </row>
    <row r="230" spans="2:2" ht="36" hidden="1" customHeight="1" x14ac:dyDescent="0.25">
      <c r="B230" s="334"/>
    </row>
    <row r="231" spans="2:2" ht="36" hidden="1" customHeight="1" x14ac:dyDescent="0.25">
      <c r="B231" s="334"/>
    </row>
    <row r="232" spans="2:2" ht="60" hidden="1" customHeight="1" x14ac:dyDescent="0.25">
      <c r="B232" s="334"/>
    </row>
    <row r="233" spans="2:2" ht="48" hidden="1" customHeight="1" x14ac:dyDescent="0.25">
      <c r="B233" s="334"/>
    </row>
    <row r="234" spans="2:2" ht="48" hidden="1" customHeight="1" x14ac:dyDescent="0.25">
      <c r="B234" s="334"/>
    </row>
    <row r="235" spans="2:2" ht="60" hidden="1" customHeight="1" x14ac:dyDescent="0.25">
      <c r="B235" s="334"/>
    </row>
    <row r="236" spans="2:2" ht="84" hidden="1" customHeight="1" x14ac:dyDescent="0.25">
      <c r="B236" s="334"/>
    </row>
    <row r="237" spans="2:2" ht="84" hidden="1" customHeight="1" x14ac:dyDescent="0.25">
      <c r="B237" s="334"/>
    </row>
    <row r="238" spans="2:2" ht="72" hidden="1" customHeight="1" x14ac:dyDescent="0.25">
      <c r="B238" s="334"/>
    </row>
    <row r="239" spans="2:2" ht="48" hidden="1" customHeight="1" x14ac:dyDescent="0.25">
      <c r="B239" s="334"/>
    </row>
    <row r="240" spans="2:2" ht="24" hidden="1" customHeight="1" x14ac:dyDescent="0.25">
      <c r="B240" s="334"/>
    </row>
    <row r="241" spans="2:2" hidden="1" x14ac:dyDescent="0.25">
      <c r="B241" s="334"/>
    </row>
    <row r="242" spans="2:2" ht="36" hidden="1" customHeight="1" x14ac:dyDescent="0.25">
      <c r="B242" s="334"/>
    </row>
    <row r="243" spans="2:2" ht="72" hidden="1" customHeight="1" x14ac:dyDescent="0.25">
      <c r="B243" s="334"/>
    </row>
    <row r="244" spans="2:2" ht="36" hidden="1" customHeight="1" x14ac:dyDescent="0.25">
      <c r="B244" s="334"/>
    </row>
    <row r="245" spans="2:2" ht="48" hidden="1" customHeight="1" x14ac:dyDescent="0.25">
      <c r="B245" s="334"/>
    </row>
    <row r="246" spans="2:2" hidden="1" x14ac:dyDescent="0.25">
      <c r="B246" s="334"/>
    </row>
    <row r="247" spans="2:2" ht="60" hidden="1" customHeight="1" x14ac:dyDescent="0.25">
      <c r="B247" s="334"/>
    </row>
    <row r="248" spans="2:2" ht="36" hidden="1" customHeight="1" x14ac:dyDescent="0.25">
      <c r="B248" s="334"/>
    </row>
    <row r="249" spans="2:2" ht="60" hidden="1" customHeight="1" x14ac:dyDescent="0.25">
      <c r="B249" s="334"/>
    </row>
    <row r="250" spans="2:2" ht="36" hidden="1" customHeight="1" x14ac:dyDescent="0.25">
      <c r="B250" s="334"/>
    </row>
    <row r="251" spans="2:2" ht="24" hidden="1" customHeight="1" x14ac:dyDescent="0.25">
      <c r="B251" s="334"/>
    </row>
    <row r="252" spans="2:2" ht="24" hidden="1" customHeight="1" x14ac:dyDescent="0.25">
      <c r="B252" s="334"/>
    </row>
    <row r="253" spans="2:2" ht="48" hidden="1" customHeight="1" x14ac:dyDescent="0.25">
      <c r="B253" s="334"/>
    </row>
    <row r="254" spans="2:2" ht="72" hidden="1" customHeight="1" x14ac:dyDescent="0.25">
      <c r="B254" s="334"/>
    </row>
    <row r="255" spans="2:2" ht="36" hidden="1" customHeight="1" x14ac:dyDescent="0.25">
      <c r="B255" s="334"/>
    </row>
    <row r="256" spans="2:2" ht="60" hidden="1" customHeight="1" x14ac:dyDescent="0.25">
      <c r="B256" s="334"/>
    </row>
    <row r="257" spans="2:2" ht="36" hidden="1" customHeight="1" x14ac:dyDescent="0.25">
      <c r="B257" s="334"/>
    </row>
    <row r="258" spans="2:2" ht="48" hidden="1" customHeight="1" x14ac:dyDescent="0.25">
      <c r="B258" s="334"/>
    </row>
    <row r="259" spans="2:2" ht="72" hidden="1" customHeight="1" x14ac:dyDescent="0.25">
      <c r="B259" s="334"/>
    </row>
    <row r="260" spans="2:2" ht="60" hidden="1" customHeight="1" x14ac:dyDescent="0.25">
      <c r="B260" s="334"/>
    </row>
    <row r="261" spans="2:2" ht="60" hidden="1" customHeight="1" x14ac:dyDescent="0.25">
      <c r="B261" s="334"/>
    </row>
    <row r="262" spans="2:2" ht="48" hidden="1" customHeight="1" x14ac:dyDescent="0.25">
      <c r="B262" s="334"/>
    </row>
    <row r="263" spans="2:2" ht="60" hidden="1" customHeight="1" x14ac:dyDescent="0.25">
      <c r="B263" s="334"/>
    </row>
    <row r="264" spans="2:2" ht="72" hidden="1" customHeight="1" x14ac:dyDescent="0.25">
      <c r="B264" s="334"/>
    </row>
    <row r="265" spans="2:2" ht="48" hidden="1" customHeight="1" x14ac:dyDescent="0.25">
      <c r="B265" s="334"/>
    </row>
    <row r="266" spans="2:2" ht="60" hidden="1" customHeight="1" x14ac:dyDescent="0.25">
      <c r="B266" s="334"/>
    </row>
    <row r="267" spans="2:2" ht="48" hidden="1" customHeight="1" x14ac:dyDescent="0.25">
      <c r="B267" s="334"/>
    </row>
    <row r="268" spans="2:2" ht="72" hidden="1" customHeight="1" x14ac:dyDescent="0.25">
      <c r="B268" s="334"/>
    </row>
    <row r="269" spans="2:2" ht="60" hidden="1" customHeight="1" x14ac:dyDescent="0.25">
      <c r="B269" s="334"/>
    </row>
    <row r="270" spans="2:2" ht="48" hidden="1" customHeight="1" x14ac:dyDescent="0.25">
      <c r="B270" s="334"/>
    </row>
    <row r="271" spans="2:2" ht="72" hidden="1" customHeight="1" x14ac:dyDescent="0.25">
      <c r="B271" s="334"/>
    </row>
    <row r="272" spans="2:2" ht="48" hidden="1" customHeight="1" x14ac:dyDescent="0.25">
      <c r="B272" s="334"/>
    </row>
    <row r="273" spans="2:2" ht="24" hidden="1" customHeight="1" x14ac:dyDescent="0.25">
      <c r="B273" s="334"/>
    </row>
    <row r="274" spans="2:2" ht="48" hidden="1" customHeight="1" x14ac:dyDescent="0.25">
      <c r="B274" s="334"/>
    </row>
    <row r="275" spans="2:2" ht="48" hidden="1" customHeight="1" x14ac:dyDescent="0.25">
      <c r="B275" s="334"/>
    </row>
    <row r="276" spans="2:2" ht="24" hidden="1" customHeight="1" x14ac:dyDescent="0.25">
      <c r="B276" s="334"/>
    </row>
    <row r="277" spans="2:2" ht="36" hidden="1" customHeight="1" x14ac:dyDescent="0.25">
      <c r="B277" s="334"/>
    </row>
    <row r="278" spans="2:2" ht="24" hidden="1" customHeight="1" x14ac:dyDescent="0.25">
      <c r="B278" s="334"/>
    </row>
    <row r="279" spans="2:2" ht="24" hidden="1" customHeight="1" x14ac:dyDescent="0.25">
      <c r="B279" s="334"/>
    </row>
    <row r="280" spans="2:2" ht="36" hidden="1" customHeight="1" x14ac:dyDescent="0.25">
      <c r="B280" s="334"/>
    </row>
    <row r="281" spans="2:2" ht="24" hidden="1" customHeight="1" x14ac:dyDescent="0.25">
      <c r="B281" s="334"/>
    </row>
    <row r="282" spans="2:2" ht="84" hidden="1" customHeight="1" x14ac:dyDescent="0.25">
      <c r="B282" s="334"/>
    </row>
    <row r="283" spans="2:2" ht="120" hidden="1" customHeight="1" x14ac:dyDescent="0.25">
      <c r="B283" s="334"/>
    </row>
    <row r="284" spans="2:2" ht="36" hidden="1" customHeight="1" x14ac:dyDescent="0.25">
      <c r="B284" s="334"/>
    </row>
    <row r="285" spans="2:2" ht="48" hidden="1" customHeight="1" x14ac:dyDescent="0.25">
      <c r="B285" s="334"/>
    </row>
    <row r="286" spans="2:2" ht="60" hidden="1" customHeight="1" x14ac:dyDescent="0.25">
      <c r="B286" s="334"/>
    </row>
    <row r="287" spans="2:2" ht="120" hidden="1" customHeight="1" x14ac:dyDescent="0.25">
      <c r="B287" s="334"/>
    </row>
    <row r="288" spans="2:2" ht="48" hidden="1" customHeight="1" x14ac:dyDescent="0.25">
      <c r="B288" s="334"/>
    </row>
    <row r="289" spans="2:2" ht="36" hidden="1" customHeight="1" x14ac:dyDescent="0.25">
      <c r="B289" s="334"/>
    </row>
    <row r="290" spans="2:2" ht="48" hidden="1" customHeight="1" x14ac:dyDescent="0.25">
      <c r="B290" s="334"/>
    </row>
    <row r="291" spans="2:2" ht="60" hidden="1" customHeight="1" x14ac:dyDescent="0.25">
      <c r="B291" s="334"/>
    </row>
    <row r="292" spans="2:2" ht="60" hidden="1" customHeight="1" x14ac:dyDescent="0.25">
      <c r="B292" s="334"/>
    </row>
    <row r="293" spans="2:2" ht="48" hidden="1" customHeight="1" x14ac:dyDescent="0.25">
      <c r="B293" s="334"/>
    </row>
    <row r="294" spans="2:2" ht="60" hidden="1" customHeight="1" x14ac:dyDescent="0.25">
      <c r="B294" s="334"/>
    </row>
    <row r="295" spans="2:2" ht="60" hidden="1" customHeight="1" x14ac:dyDescent="0.25">
      <c r="B295" s="334"/>
    </row>
    <row r="296" spans="2:2" ht="84" hidden="1" customHeight="1" x14ac:dyDescent="0.25">
      <c r="B296" s="334"/>
    </row>
    <row r="297" spans="2:2" ht="60" hidden="1" customHeight="1" x14ac:dyDescent="0.25">
      <c r="B297" s="334"/>
    </row>
    <row r="298" spans="2:2" ht="60" hidden="1" customHeight="1" x14ac:dyDescent="0.25">
      <c r="B298" s="334"/>
    </row>
    <row r="299" spans="2:2" ht="48" hidden="1" customHeight="1" x14ac:dyDescent="0.25">
      <c r="B299" s="334"/>
    </row>
    <row r="300" spans="2:2" ht="72" hidden="1" customHeight="1" x14ac:dyDescent="0.25">
      <c r="B300" s="334"/>
    </row>
    <row r="301" spans="2:2" ht="72" hidden="1" customHeight="1" x14ac:dyDescent="0.25">
      <c r="B301" s="334"/>
    </row>
    <row r="302" spans="2:2" ht="48" hidden="1" customHeight="1" x14ac:dyDescent="0.25">
      <c r="B302" s="334"/>
    </row>
    <row r="303" spans="2:2" ht="60" hidden="1" customHeight="1" x14ac:dyDescent="0.25">
      <c r="B303" s="334"/>
    </row>
    <row r="304" spans="2:2" ht="72" hidden="1" customHeight="1" x14ac:dyDescent="0.25">
      <c r="B304" s="334"/>
    </row>
    <row r="305" spans="2:2" ht="48" hidden="1" customHeight="1" x14ac:dyDescent="0.25">
      <c r="B305" s="334"/>
    </row>
    <row r="306" spans="2:2" ht="72" hidden="1" customHeight="1" x14ac:dyDescent="0.25">
      <c r="B306" s="334"/>
    </row>
    <row r="307" spans="2:2" ht="60" hidden="1" customHeight="1" x14ac:dyDescent="0.25">
      <c r="B307" s="334"/>
    </row>
    <row r="308" spans="2:2" ht="72" hidden="1" customHeight="1" x14ac:dyDescent="0.25">
      <c r="B308" s="334"/>
    </row>
    <row r="309" spans="2:2" ht="60" hidden="1" customHeight="1" x14ac:dyDescent="0.25">
      <c r="B309" s="334"/>
    </row>
    <row r="310" spans="2:2" ht="36" hidden="1" customHeight="1" x14ac:dyDescent="0.25">
      <c r="B310" s="334"/>
    </row>
    <row r="311" spans="2:2" ht="48" hidden="1" customHeight="1" x14ac:dyDescent="0.25">
      <c r="B311" s="334"/>
    </row>
    <row r="312" spans="2:2" ht="48" hidden="1" customHeight="1" x14ac:dyDescent="0.25">
      <c r="B312" s="334"/>
    </row>
    <row r="313" spans="2:2" ht="36" hidden="1" customHeight="1" x14ac:dyDescent="0.25">
      <c r="B313" s="334"/>
    </row>
    <row r="314" spans="2:2" ht="48" hidden="1" customHeight="1" x14ac:dyDescent="0.25">
      <c r="B314" s="334"/>
    </row>
    <row r="315" spans="2:2" ht="60" hidden="1" customHeight="1" x14ac:dyDescent="0.25">
      <c r="B315" s="334"/>
    </row>
    <row r="316" spans="2:2" ht="108" hidden="1" customHeight="1" x14ac:dyDescent="0.25">
      <c r="B316" s="334"/>
    </row>
    <row r="317" spans="2:2" ht="72" hidden="1" customHeight="1" x14ac:dyDescent="0.25">
      <c r="B317" s="334"/>
    </row>
    <row r="318" spans="2:2" ht="60" hidden="1" customHeight="1" x14ac:dyDescent="0.25">
      <c r="B318" s="334"/>
    </row>
    <row r="319" spans="2:2" ht="60" hidden="1" customHeight="1" x14ac:dyDescent="0.25">
      <c r="B319" s="334"/>
    </row>
    <row r="320" spans="2:2" ht="48" hidden="1" customHeight="1" x14ac:dyDescent="0.25">
      <c r="B320" s="334"/>
    </row>
    <row r="321" spans="2:2" ht="24" hidden="1" customHeight="1" x14ac:dyDescent="0.25">
      <c r="B321" s="334"/>
    </row>
    <row r="322" spans="2:2" ht="48" hidden="1" customHeight="1" x14ac:dyDescent="0.25">
      <c r="B322" s="334"/>
    </row>
    <row r="323" spans="2:2" ht="48" hidden="1" customHeight="1" x14ac:dyDescent="0.25">
      <c r="B323" s="334"/>
    </row>
    <row r="324" spans="2:2" ht="36" hidden="1" customHeight="1" x14ac:dyDescent="0.25">
      <c r="B324" s="334"/>
    </row>
    <row r="325" spans="2:2" ht="48" hidden="1" customHeight="1" x14ac:dyDescent="0.25">
      <c r="B325" s="334"/>
    </row>
    <row r="326" spans="2:2" ht="48" hidden="1" customHeight="1" x14ac:dyDescent="0.25">
      <c r="B326" s="334"/>
    </row>
    <row r="327" spans="2:2" ht="84" hidden="1" customHeight="1" x14ac:dyDescent="0.25">
      <c r="B327" s="334"/>
    </row>
    <row r="328" spans="2:2" ht="48" hidden="1" customHeight="1" x14ac:dyDescent="0.25">
      <c r="B328" s="334"/>
    </row>
    <row r="329" spans="2:2" ht="48" hidden="1" customHeight="1" x14ac:dyDescent="0.25">
      <c r="B329" s="334"/>
    </row>
    <row r="330" spans="2:2" ht="36" hidden="1" customHeight="1" x14ac:dyDescent="0.25">
      <c r="B330" s="334"/>
    </row>
    <row r="331" spans="2:2" ht="60" hidden="1" customHeight="1" x14ac:dyDescent="0.25">
      <c r="B331" s="334"/>
    </row>
    <row r="332" spans="2:2" ht="84" hidden="1" customHeight="1" x14ac:dyDescent="0.25">
      <c r="B332" s="334"/>
    </row>
    <row r="333" spans="2:2" ht="24" hidden="1" customHeight="1" x14ac:dyDescent="0.25">
      <c r="B333" s="334"/>
    </row>
    <row r="334" spans="2:2" ht="48" hidden="1" customHeight="1" x14ac:dyDescent="0.25">
      <c r="B334" s="334"/>
    </row>
    <row r="335" spans="2:2" ht="60" hidden="1" customHeight="1" x14ac:dyDescent="0.25">
      <c r="B335" s="334"/>
    </row>
    <row r="336" spans="2:2" ht="48" hidden="1" customHeight="1" x14ac:dyDescent="0.25">
      <c r="B336" s="334"/>
    </row>
    <row r="337" spans="2:2" ht="84" hidden="1" customHeight="1" x14ac:dyDescent="0.25">
      <c r="B337" s="334"/>
    </row>
    <row r="338" spans="2:2" ht="60" hidden="1" customHeight="1" x14ac:dyDescent="0.25">
      <c r="B338" s="334"/>
    </row>
    <row r="339" spans="2:2" ht="120" hidden="1" customHeight="1" x14ac:dyDescent="0.25">
      <c r="B339" s="334"/>
    </row>
    <row r="340" spans="2:2" ht="60" hidden="1" customHeight="1" x14ac:dyDescent="0.25">
      <c r="B340" s="334"/>
    </row>
    <row r="341" spans="2:2" ht="36" hidden="1" customHeight="1" x14ac:dyDescent="0.25">
      <c r="B341" s="334"/>
    </row>
    <row r="342" spans="2:2" ht="60" hidden="1" customHeight="1" x14ac:dyDescent="0.25">
      <c r="B342" s="334"/>
    </row>
    <row r="343" spans="2:2" ht="72" hidden="1" customHeight="1" x14ac:dyDescent="0.25">
      <c r="B343" s="334"/>
    </row>
    <row r="344" spans="2:2" ht="60" hidden="1" customHeight="1" x14ac:dyDescent="0.25">
      <c r="B344" s="334"/>
    </row>
    <row r="345" spans="2:2" ht="72" hidden="1" customHeight="1" x14ac:dyDescent="0.25">
      <c r="B345" s="334"/>
    </row>
    <row r="346" spans="2:2" ht="96" hidden="1" customHeight="1" x14ac:dyDescent="0.25">
      <c r="B346" s="334"/>
    </row>
    <row r="347" spans="2:2" ht="48" hidden="1" customHeight="1" x14ac:dyDescent="0.25">
      <c r="B347" s="334"/>
    </row>
    <row r="348" spans="2:2" ht="36" hidden="1" customHeight="1" x14ac:dyDescent="0.25">
      <c r="B348" s="334"/>
    </row>
    <row r="349" spans="2:2" ht="60" hidden="1" customHeight="1" x14ac:dyDescent="0.25">
      <c r="B349" s="334"/>
    </row>
    <row r="350" spans="2:2" ht="36" hidden="1" customHeight="1" x14ac:dyDescent="0.25">
      <c r="B350" s="334"/>
    </row>
    <row r="351" spans="2:2" ht="48" hidden="1" customHeight="1" x14ac:dyDescent="0.25">
      <c r="B351" s="334"/>
    </row>
    <row r="352" spans="2:2" ht="24" hidden="1" customHeight="1" x14ac:dyDescent="0.25">
      <c r="B352" s="334"/>
    </row>
    <row r="353" spans="2:2" hidden="1" x14ac:dyDescent="0.25">
      <c r="B353" s="334"/>
    </row>
    <row r="354" spans="2:2" hidden="1" x14ac:dyDescent="0.25">
      <c r="B354" s="334"/>
    </row>
    <row r="355" spans="2:2" ht="15" hidden="1" customHeight="1" x14ac:dyDescent="0.25">
      <c r="B355" s="334"/>
    </row>
    <row r="356" spans="2:2" hidden="1" x14ac:dyDescent="0.25">
      <c r="B356" s="334"/>
    </row>
    <row r="357" spans="2:2" ht="15.75" hidden="1" customHeight="1" x14ac:dyDescent="0.25">
      <c r="B357" s="334"/>
    </row>
    <row r="358" spans="2:2" hidden="1" x14ac:dyDescent="0.25">
      <c r="B358" s="334"/>
    </row>
    <row r="359" spans="2:2" ht="15.75" hidden="1" customHeight="1" x14ac:dyDescent="0.25">
      <c r="B359" s="334"/>
    </row>
    <row r="360" spans="2:2" hidden="1" x14ac:dyDescent="0.25">
      <c r="B360" s="334"/>
    </row>
    <row r="361" spans="2:2" hidden="1" x14ac:dyDescent="0.25">
      <c r="B361" s="334"/>
    </row>
    <row r="362" spans="2:2" hidden="1" x14ac:dyDescent="0.25">
      <c r="B362" s="334"/>
    </row>
    <row r="363" spans="2:2" ht="15" hidden="1" customHeight="1" x14ac:dyDescent="0.25">
      <c r="B363" s="334"/>
    </row>
    <row r="364" spans="2:2" hidden="1" x14ac:dyDescent="0.25">
      <c r="B364" s="334"/>
    </row>
    <row r="365" spans="2:2" ht="15.75" hidden="1" customHeight="1" x14ac:dyDescent="0.25">
      <c r="B365" s="334"/>
    </row>
    <row r="366" spans="2:2" hidden="1" x14ac:dyDescent="0.25">
      <c r="B366" s="334"/>
    </row>
    <row r="367" spans="2:2" ht="15.75" hidden="1" customHeight="1" x14ac:dyDescent="0.25">
      <c r="B367" s="334"/>
    </row>
    <row r="368" spans="2:2" ht="60" hidden="1" customHeight="1" x14ac:dyDescent="0.25">
      <c r="B368" s="334"/>
    </row>
    <row r="369" spans="2:2" ht="24" hidden="1" customHeight="1" x14ac:dyDescent="0.25">
      <c r="B369" s="334"/>
    </row>
    <row r="370" spans="2:2" ht="36" hidden="1" customHeight="1" x14ac:dyDescent="0.25">
      <c r="B370" s="334"/>
    </row>
    <row r="371" spans="2:2" ht="36" hidden="1" customHeight="1" x14ac:dyDescent="0.25">
      <c r="B371" s="334"/>
    </row>
    <row r="372" spans="2:2" ht="72" hidden="1" customHeight="1" x14ac:dyDescent="0.25">
      <c r="B372" s="334"/>
    </row>
    <row r="373" spans="2:2" ht="48" hidden="1" customHeight="1" x14ac:dyDescent="0.25">
      <c r="B373" s="334"/>
    </row>
    <row r="374" spans="2:2" hidden="1" x14ac:dyDescent="0.25">
      <c r="B374" s="334"/>
    </row>
  </sheetData>
  <mergeCells count="21">
    <mergeCell ref="E39:E40"/>
    <mergeCell ref="F39:F40"/>
    <mergeCell ref="B2:F2"/>
    <mergeCell ref="B4:C4"/>
    <mergeCell ref="B5:B6"/>
    <mergeCell ref="C5:D5"/>
    <mergeCell ref="E5:E6"/>
    <mergeCell ref="B15:C15"/>
    <mergeCell ref="B16:B17"/>
    <mergeCell ref="C16:D16"/>
    <mergeCell ref="E16:E17"/>
    <mergeCell ref="B38:C38"/>
    <mergeCell ref="B39:B40"/>
    <mergeCell ref="C39:D39"/>
    <mergeCell ref="B27:C27"/>
    <mergeCell ref="B28:B29"/>
    <mergeCell ref="C28:D28"/>
    <mergeCell ref="F16:F17"/>
    <mergeCell ref="E28:E29"/>
    <mergeCell ref="F28:F29"/>
    <mergeCell ref="F5:F6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Outcome1 Indicators</vt:lpstr>
      <vt:lpstr>Sheet3</vt:lpstr>
      <vt:lpstr>Outcome2 Indcators</vt:lpstr>
      <vt:lpstr>Output1 Indicators</vt:lpstr>
      <vt:lpstr>Output1 other Indicators</vt:lpstr>
      <vt:lpstr>SHGs Contributions</vt:lpstr>
      <vt:lpstr>Output2 Indicators</vt:lpstr>
      <vt:lpstr>Output3 Indicators</vt:lpstr>
      <vt:lpstr>Output4 Indicators</vt:lpstr>
      <vt:lpstr>Access to Market</vt:lpstr>
      <vt:lpstr>Women in Decision making</vt:lpstr>
      <vt:lpstr>Effect of Covid19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Odhiambo</dc:creator>
  <cp:lastModifiedBy>hp</cp:lastModifiedBy>
  <dcterms:created xsi:type="dcterms:W3CDTF">2021-08-04T06:53:58Z</dcterms:created>
  <dcterms:modified xsi:type="dcterms:W3CDTF">2021-09-06T15:12:18Z</dcterms:modified>
</cp:coreProperties>
</file>